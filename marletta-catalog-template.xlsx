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c405d1f63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b057f8992624c3d"/>
    <x:sheet xmlns:r="http://schemas.openxmlformats.org/officeDocument/2006/relationships" name="Lists" sheetId="2" r:id="Rc551218e56484880"/>
    <x:sheet xmlns:r="http://schemas.openxmlformats.org/officeDocument/2006/relationships" name="Categories" sheetId="3" r:id="R3e12b40fe3b84744"/>
    <x:sheet xmlns:r="http://schemas.openxmlformats.org/officeDocument/2006/relationships" name="Products" sheetId="4" r:id="Rf410f033453a46b2"/>
    <x:sheet xmlns:r="http://schemas.openxmlformats.org/officeDocument/2006/relationships" name="Attributes" sheetId="5" r:id="Rc34faddb2acc4657"/>
    <x:sheet xmlns:r="http://schemas.openxmlformats.org/officeDocument/2006/relationships" name="Inventory" sheetId="6" r:id="R3e0ebb5eb222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"/>
  </x:numFmts>
  <x:fonts count="6">
    <x:font>
      <x:sz val="11"/>
      <x:name val="Carlito"/>
    </x:font>
    <x:font>
      <x:b/>
      <x:sz val="11"/>
      <x:color rgb="FFFFFF"/>
      <x:name val="Carlito"/>
    </x:font>
    <x:font>
      <x:i/>
      <x:sz val="11"/>
      <x:color rgb="222222"/>
      <x:name val="Carlito"/>
    </x:font>
    <x:font>
      <x:b/>
      <x:sz val="11"/>
      <x:name val="Carlito"/>
    </x:font>
    <x:font>
      <x:sz val="11"/>
      <x:color rgb="FFFFFF"/>
      <x:name val="Carlito"/>
    </x:font>
    <x:font>
      <x:b/>
      <x:sz val="11"/>
      <x:color rgb="1111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0F16"/>
      </x:patternFill>
    </x:fill>
    <x:fill>
      <x:patternFill patternType="solid">
        <x:fgColor rgb="F4F4F4"/>
      </x:patternFill>
    </x:fill>
    <x:fill>
      <x:patternFill patternType="solid">
        <x:fgColor rgb="111111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af434284b4330" /><Relationship Type="http://schemas.openxmlformats.org/officeDocument/2006/relationships/theme" Target="/xl/theme/theme1.xml" Id="R5b940416fb3d4e46" /><Relationship Type="http://schemas.openxmlformats.org/officeDocument/2006/relationships/sharedStrings" Target="/xl/sharedStrings.xml" Id="Rf6ea242c28434854" /><Relationship Type="http://schemas.openxmlformats.org/officeDocument/2006/relationships/worksheet" Target="/xl/worksheets/sheet1.xml" Id="R6b057f8992624c3d" /><Relationship Type="http://schemas.openxmlformats.org/officeDocument/2006/relationships/worksheet" Target="/xl/worksheets/sheet2.xml" Id="Rc551218e56484880" /><Relationship Type="http://schemas.openxmlformats.org/officeDocument/2006/relationships/worksheet" Target="/xl/worksheets/sheet3.xml" Id="R3e12b40fe3b84744" /><Relationship Type="http://schemas.openxmlformats.org/officeDocument/2006/relationships/worksheet" Target="/xl/worksheets/sheet4.xml" Id="Rf410f033453a46b2" /><Relationship Type="http://schemas.openxmlformats.org/officeDocument/2006/relationships/worksheet" Target="/xl/worksheets/sheet5.xml" Id="Rc34faddb2acc4657" /><Relationship Type="http://schemas.openxmlformats.org/officeDocument/2006/relationships/worksheet" Target="/xl/worksheets/sheet6.xml" Id="R3e0ebb5eb2224317" /></Relationships>
</file>

<file path=xl/tables/table1.xml><?xml version="1.0" encoding="utf-8"?>
<x:table xmlns:x="http://schemas.openxmlformats.org/spreadsheetml/2006/main" id="1" name="CategoriesTable" displayName="CategoriesTable" ref="A1:L22" headerRowCount="1">
  <x:tableColumns count="12">
    <x:tableColumn id="1" name="category_id"/>
    <x:tableColumn id="2" name="parent_id"/>
    <x:tableColumn id="3" name="level"/>
    <x:tableColumn id="4" name="slug"/>
    <x:tableColumn id="5" name="name_bg"/>
    <x:tableColumn id="6" name="menu_label"/>
    <x:tableColumn id="7" name="short_description"/>
    <x:tableColumn id="8" name="hero_title"/>
    <x:tableColumn id="9" name="hero_subtitle"/>
    <x:tableColumn id="10" name="image"/>
    <x:tableColumn id="11" name="sort_order"/>
    <x:tableColumn id="12" name="is_active"/>
  </x:tableColumns>
  <x:tableStyleInfo name="TableStyleMedium2" showRowStripes="1"/>
</x:table>
</file>

<file path=xl/tables/table2.xml><?xml version="1.0" encoding="utf-8"?>
<x:table xmlns:x="http://schemas.openxmlformats.org/spreadsheetml/2006/main" id="1" name="ProductsTable" displayName="ProductsTable" ref="A1:Y15" headerRowCount="1">
  <x:tableColumns count="25">
    <x:tableColumn id="1" name="product_id"/>
    <x:tableColumn id="2" name="sku"/>
    <x:tableColumn id="3" name="category_slug"/>
    <x:tableColumn id="4" name="subcategory_slug"/>
    <x:tableColumn id="5" name="name_bg"/>
    <x:tableColumn id="6" name="short_desc_bg"/>
    <x:tableColumn id="7" name="material"/>
    <x:tableColumn id="8" name="color"/>
    <x:tableColumn id="9" name="size"/>
    <x:tableColumn id="10" name="unit"/>
    <x:tableColumn id="11" name="price_bgn"/>
    <x:tableColumn id="12" name="promo_price_bgn"/>
    <x:tableColumn id="13" name="stock_qty"/>
    <x:tableColumn id="14" name="min_stock"/>
    <x:tableColumn id="15" name="stock_status"/>
    <x:tableColumn id="16" name="is_featured"/>
    <x:tableColumn id="17" name="is_active"/>
    <x:tableColumn id="18" name="image_1"/>
    <x:tableColumn id="19" name="image_2"/>
    <x:tableColumn id="20" name="image_3"/>
    <x:tableColumn id="21" name="spec_pdf"/>
    <x:tableColumn id="22" name="seo_title"/>
    <x:tableColumn id="23" name="seo_description"/>
    <x:tableColumn id="24" name="slug"/>
    <x:tableColumn id="25" name="sort_order"/>
  </x:tableColumns>
  <x:tableStyleInfo name="TableStyleMedium2" showRowStripes="1"/>
</x:table>
</file>

<file path=xl/tables/table3.xml><?xml version="1.0" encoding="utf-8"?>
<x:table xmlns:x="http://schemas.openxmlformats.org/spreadsheetml/2006/main" id="1" name="AttributesTable" displayName="AttributesTable" ref="A1:G21" headerRowCount="1">
  <x:tableColumns count="7">
    <x:tableColumn id="1" name="attribute_id"/>
    <x:tableColumn id="2" name="sku"/>
    <x:tableColumn id="3" name="attribute_group"/>
    <x:tableColumn id="4" name="attribute_name_bg"/>
    <x:tableColumn id="5" name="attribute_value_bg"/>
    <x:tableColumn id="6" name="is_filterable"/>
    <x:tableColumn id="7" name="sort_order"/>
  </x:tableColumns>
  <x:tableStyleInfo name="TableStyleMedium2" showRowStripes="1"/>
</x:table>
</file>

<file path=xl/tables/table4.xml><?xml version="1.0" encoding="utf-8"?>
<x:table xmlns:x="http://schemas.openxmlformats.org/spreadsheetml/2006/main" id="1" name="InventoryTable" displayName="InventoryTable" ref="A1:I15" headerRowCount="1">
  <x:tableColumns count="9">
    <x:tableColumn id="1" name="sku"/>
    <x:tableColumn id="2" name="product_name"/>
    <x:tableColumn id="3" name="on_hand"/>
    <x:tableColumn id="4" name="reserved"/>
    <x:tableColumn id="5" name="available"/>
    <x:tableColumn id="6" name="min_stock"/>
    <x:tableColumn id="7" name="status"/>
    <x:tableColumn id="8" name="last_update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f1713396bbc4b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f1f2cad5f844d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8cb10965b1c4f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b25fa4dd8d347b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6" customHeight="1">
      <x:c r="A1" s="4" t="str">
        <x:v>Marletta каталог + наличности + Google Sheets шаблон</x:v>
      </x:c>
      <x:c r="B1" s="4"/>
      <x:c r="C1" s="4"/>
      <x:c r="D1" s="4"/>
      <x:c r="E1" s="4"/>
      <x:c r="F1" s="4"/>
      <x:c r="G1" s="4"/>
      <x:c r="H1" s="4"/>
    </x:row>
    <x:row r="2" ht="48" customHeight="1">
      <x:c r="A2" s="6" t="str">
        <x:v>Този файл е направен така, че да управлявате много продукти без да пипате кода на сайта при всяка промяна. Най-сетне един разумен подход.</x:v>
      </x:c>
      <x:c r="B2" s="6"/>
      <x:c r="C2" s="6"/>
      <x:c r="D2" s="6"/>
      <x:c r="E2" s="6"/>
      <x:c r="F2" s="6"/>
      <x:c r="G2" s="6"/>
      <x:c r="H2" s="6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7" t="str">
        <x:v>1. Качи файла в Google Sheets.</x:v>
      </x:c>
      <x:c r="B4" s="1"/>
      <x:c r="C4" s="1"/>
      <x:c r="D4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E4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F4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G4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H4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</x:row>
    <x:row r="5" ht="34" customHeight="1">
      <x:c r="A5" s="7" t="str">
        <x:v>2. Запази имената на листовете: Categories, Products, Attributes, Inventory.</x:v>
      </x:c>
      <x:c r="B5" s="1"/>
      <x:c r="C5" s="1"/>
      <x:c r="D5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E5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F5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G5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H5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</x:row>
    <x:row r="6" ht="34" customHeight="1">
      <x:c r="A6" s="7" t="str">
        <x:v>3. Добавяй нови артикули в Products, а наличности поддържай в Inventory.</x:v>
      </x:c>
      <x:c r="B6" s="1"/>
      <x:c r="C6" s="1"/>
      <x:c r="D6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E6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F6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G6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H6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</x:row>
    <x:row r="7" ht="34" customHeight="1">
      <x:c r="A7" s="7" t="str">
        <x:v>4. Products дърпа наличностите автоматично по SKU от Inventory.</x:v>
      </x:c>
      <x:c r="B7" s="1"/>
      <x:c r="C7" s="1"/>
      <x:c r="D7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E7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F7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G7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H7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</x:row>
    <x:row r="8" ht="34" customHeight="1">
      <x:c r="A8" s="7" t="str">
        <x:v>5. Допълнителни характеристики за сайта се добавят в Attributes.</x:v>
      </x:c>
      <x:c r="B8" s="1"/>
      <x:c r="C8" s="1"/>
      <x:c r="D8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E8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F8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G8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H8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</x:row>
    <x:row r="9" ht="34" customHeight="1">
      <x:c r="A9" s="7" t="str">
        <x:v>6. В js/config.js на сайта попълни само spreadsheetId и включи mode: 'google-sheet'.</x:v>
      </x:c>
      <x:c r="B9" s="1"/>
      <x:c r="C9" s="1"/>
      <x:c r="D9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E9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F9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G9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H9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</x:row>
    <x:row r="10" ht="34" customHeight="1">
      <x:c r="A10" s="7" t="str">
        <x:v>7. Остави файла споделен поне с View access, за да може сайтът да чете данните.</x:v>
      </x:c>
      <x:c r="B10" s="1"/>
      <x:c r="C10" s="1"/>
      <x:c r="D10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E10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F10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G10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  <x:c r="H10" s="9" t="str">
        <x:v>Полезни бележки:
• SKU трябва да е уникално.
• Не сменяй имената на колоните.
• За сайт се показват само редове с is_active = Да.
• За продукти без цена можеш да оставиш price_bgn празно.
• image_1 може да е локален път или външен URL.</x:v>
      </x:c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4" t="str">
        <x:v>Листове в този файл</x:v>
      </x:c>
      <x:c r="B12" s="4"/>
      <x:c r="C12" s="4"/>
      <x:c r="D12" s="4"/>
      <x:c r="E12" s="4"/>
      <x:c r="F12" s="4"/>
      <x:c r="G12" s="4"/>
      <x:c r="H12" s="4"/>
    </x:row>
    <x:row r="13">
      <x:c r="A13" s="10" t="str">
        <x:v>README</x:v>
      </x:c>
      <x:c r="B13" s="10" t="str">
        <x:v>Инструкции</x:v>
      </x:c>
      <x:c r="C13" s="10" t="str">
        <x:v>Как се ползва файлът и как се връзва към сайта.</x:v>
      </x:c>
      <x:c r="D13" s="1"/>
      <x:c r="E13" s="1"/>
      <x:c r="F13" s="1"/>
      <x:c r="G13" s="1"/>
      <x:c r="H13" s="1"/>
    </x:row>
    <x:row r="14">
      <x:c r="A14" s="1" t="str">
        <x:v>Lists</x:v>
      </x:c>
      <x:c r="B14" s="1" t="str">
        <x:v>Списъци</x:v>
      </x:c>
      <x:c r="C14" s="1" t="str">
        <x:v>Помощни стойности за падащи менюта.</x:v>
      </x:c>
      <x:c r="D14" s="1"/>
      <x:c r="E14" s="1"/>
      <x:c r="F14" s="1"/>
      <x:c r="G14" s="1"/>
      <x:c r="H14" s="1"/>
    </x:row>
    <x:row r="15">
      <x:c r="A15" s="1" t="str">
        <x:v>Categories</x:v>
      </x:c>
      <x:c r="B15" s="1" t="str">
        <x:v>Категории</x:v>
      </x:c>
      <x:c r="C15" s="1" t="str">
        <x:v>Главни категории и подкатегории за менюта и филтри.</x:v>
      </x:c>
      <x:c r="D15" s="1"/>
      <x:c r="E15" s="1"/>
      <x:c r="F15" s="1"/>
      <x:c r="G15" s="1"/>
      <x:c r="H15" s="1"/>
    </x:row>
    <x:row r="16">
      <x:c r="A16" s="1" t="str">
        <x:v>Products</x:v>
      </x:c>
      <x:c r="B16" s="1" t="str">
        <x:v>Продукти</x:v>
      </x:c>
      <x:c r="C16" s="1" t="str">
        <x:v>Основен каталог за сайта.</x:v>
      </x:c>
      <x:c r="D16" s="1"/>
      <x:c r="E16" s="1"/>
      <x:c r="F16" s="1"/>
      <x:c r="G16" s="1"/>
      <x:c r="H16" s="1"/>
    </x:row>
    <x:row r="17">
      <x:c r="A17" s="1" t="str">
        <x:v>Attributes</x:v>
      </x:c>
      <x:c r="B17" s="1" t="str">
        <x:v>Характеристики</x:v>
      </x:c>
      <x:c r="C17" s="1" t="str">
        <x:v>Допълнителни атрибути по SKU.</x:v>
      </x:c>
      <x:c r="D17" s="1"/>
      <x:c r="E17" s="1"/>
      <x:c r="F17" s="1"/>
      <x:c r="G17" s="1"/>
      <x:c r="H17" s="1"/>
    </x:row>
    <x:row r="18">
      <x:c r="A18" s="1" t="str">
        <x:v>Inventory</x:v>
      </x:c>
      <x:c r="B18" s="1" t="str">
        <x:v>Наличности</x:v>
      </x:c>
      <x:c r="C18" s="1" t="str">
        <x:v>Наличности, резервирани количества и статус.</x:v>
      </x:c>
      <x:c r="D18" s="1"/>
      <x:c r="E18" s="1"/>
      <x:c r="F18" s="1"/>
      <x:c r="G18" s="1"/>
      <x:c r="H18" s="1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5" t="str">
        <x:v>Yes/No</x:v>
      </x:c>
      <x:c r="B1" s="15" t="str">
        <x:v>Units</x:v>
      </x:c>
      <x:c r="C1" s="15" t="str">
        <x:v>Attribute Groups</x:v>
      </x:c>
    </x:row>
    <x:row r="2">
      <x:c r="A2" s="1" t="str">
        <x:v>Да</x:v>
      </x:c>
      <x:c r="B2" s="1" t="str">
        <x:v>бр.</x:v>
      </x:c>
      <x:c r="C2" s="1" t="str">
        <x:v>Размер</x:v>
      </x:c>
    </x:row>
    <x:row r="3">
      <x:c r="A3" s="1" t="str">
        <x:v>Не</x:v>
      </x:c>
      <x:c r="B3" s="1" t="str">
        <x:v>м²</x:v>
      </x:c>
      <x:c r="C3" s="1" t="str">
        <x:v>Материал</x:v>
      </x:c>
    </x:row>
    <x:row r="4">
      <x:c r="A4" s="1"/>
      <x:c r="B4" s="1" t="str">
        <x:v>л.м.</x:v>
      </x:c>
      <x:c r="C4" s="1" t="str">
        <x:v>Цвят</x:v>
      </x:c>
    </x:row>
    <x:row r="5">
      <x:c r="A5" s="1"/>
      <x:c r="B5" s="1" t="str">
        <x:v>комплект</x:v>
      </x:c>
      <x:c r="C5" s="1" t="str">
        <x:v>Покритие</x:v>
      </x:c>
    </x:row>
    <x:row r="6">
      <x:c r="A6" s="1"/>
      <x:c r="B6" s="1" t="str">
        <x:v>палет</x:v>
      </x:c>
      <x:c r="C6" s="1" t="str">
        <x:v>Приложение</x:v>
      </x:c>
    </x:row>
    <x:row r="7">
      <x:c r="A7" s="1"/>
      <x:c r="B7" s="1" t="str">
        <x:v>торба</x:v>
      </x:c>
      <x:c r="C7" s="1" t="str">
        <x:v>Серия</x:v>
      </x:c>
    </x:row>
    <x:row r="8">
      <x:c r="A8" s="1"/>
      <x:c r="B8" s="1"/>
      <x:c r="C8" s="1" t="str">
        <x:v>Монтаж</x:v>
      </x:c>
    </x:row>
    <x:row r="9">
      <x:c r="A9" s="1"/>
      <x:c r="B9" s="1"/>
      <x:c r="C9" s="1" t="str">
        <x:v>Дебелина</x:v>
      </x:c>
    </x:row>
    <x:row r="10">
      <x:c r="A10" s="1"/>
      <x:c r="B10" s="1"/>
      <x:c r="C10" s="1"/>
    </x:row>
    <x:row r="11">
      <x:c r="A11" s="1"/>
      <x:c r="B11" s="1"/>
      <x:c r="C11" s="1"/>
    </x:row>
    <x:row r="12">
      <x:c r="A12" s="1"/>
      <x:c r="B12" s="1"/>
      <x:c r="C12" s="1"/>
    </x:row>
    <x:row r="13">
      <x:c r="A13" s="1"/>
      <x:c r="B13" s="1"/>
      <x:c r="C13" s="1"/>
    </x:row>
    <x:row r="14">
      <x:c r="A14" s="1"/>
      <x:c r="B14" s="1"/>
      <x:c r="C14" s="1"/>
    </x:row>
    <x:row r="15">
      <x:c r="A15" s="1"/>
      <x:c r="B15" s="1"/>
      <x:c r="C15" s="1"/>
    </x:row>
    <x:row r="16">
      <x:c r="A16" s="1"/>
      <x:c r="B16" s="1"/>
      <x:c r="C16" s="1"/>
    </x:row>
    <x:row r="17">
      <x:c r="A17" s="1"/>
      <x:c r="B17" s="1"/>
      <x:c r="C17" s="1"/>
    </x:row>
    <x:row r="18">
      <x:c r="A18" s="1"/>
      <x:c r="B18" s="1"/>
      <x:c r="C18" s="1"/>
    </x:row>
    <x:row r="19">
      <x:c r="A19" s="1"/>
      <x:c r="B19" s="1"/>
      <x:c r="C19" s="1"/>
    </x:row>
    <x:row r="20">
      <x:c r="A20" s="1"/>
      <x:c r="B20" s="1"/>
      <x:c r="C20" s="1"/>
    </x:row>
    <x:row r="21">
      <x:c r="A21" s="1"/>
      <x:c r="B21" s="1"/>
      <x:c r="C21" s="1"/>
    </x:row>
    <x:row r="22">
      <x:c r="A22" s="1"/>
      <x:c r="B22" s="1"/>
      <x:c r="C22" s="1"/>
    </x:row>
    <x:row r="23">
      <x:c r="A23" s="1"/>
      <x:c r="B23" s="1"/>
      <x:c r="C23" s="1"/>
    </x:row>
    <x:row r="24">
      <x:c r="A24" s="1"/>
      <x:c r="B24" s="1"/>
      <x:c r="C24" s="1"/>
    </x:row>
    <x:row r="25">
      <x:c r="A25" s="1"/>
      <x:c r="B25" s="1"/>
      <x:c r="C25" s="1"/>
    </x:row>
    <x:row r="26">
      <x:c r="A26" s="1"/>
      <x:c r="B26" s="1"/>
      <x:c r="C26" s="1"/>
    </x:row>
    <x:row r="27">
      <x:c r="A27" s="1"/>
      <x:c r="B27" s="1"/>
      <x:c r="C27" s="1"/>
    </x:row>
    <x:row r="28">
      <x:c r="A28" s="1"/>
      <x:c r="B28" s="1"/>
      <x:c r="C28" s="1"/>
    </x:row>
    <x:row r="29">
      <x:c r="A29" s="1"/>
      <x:c r="B29" s="1"/>
      <x:c r="C29" s="1"/>
    </x:row>
    <x:row r="30">
      <x:c r="A30" s="1"/>
      <x:c r="B30" s="1"/>
      <x:c r="C30" s="1"/>
    </x:row>
    <x:row r="31">
      <x:c r="A31" s="1"/>
      <x:c r="B31" s="1"/>
      <x:c r="C31" s="1"/>
    </x:row>
    <x:row r="32">
      <x:c r="A32" s="1"/>
      <x:c r="B32" s="1"/>
      <x:c r="C32" s="1"/>
    </x:row>
    <x:row r="33">
      <x:c r="A33" s="1"/>
      <x:c r="B33" s="1"/>
      <x:c r="C33" s="1"/>
    </x:row>
    <x:row r="34">
      <x:c r="A34" s="1"/>
      <x:c r="B34" s="1"/>
      <x:c r="C34" s="1"/>
    </x:row>
    <x:row r="35">
      <x:c r="A35" s="1"/>
      <x:c r="B35" s="1"/>
      <x:c r="C35" s="1"/>
    </x:row>
    <x:row r="36">
      <x:c r="A36" s="1"/>
      <x:c r="B36" s="1"/>
      <x:c r="C36" s="1"/>
    </x:row>
    <x:row r="37">
      <x:c r="A37" s="1"/>
      <x:c r="B37" s="1"/>
      <x:c r="C37" s="1"/>
    </x:row>
    <x:row r="38">
      <x:c r="A38" s="1"/>
      <x:c r="B38" s="1"/>
      <x:c r="C38" s="1"/>
    </x:row>
    <x:row r="39">
      <x:c r="A39" s="1"/>
      <x:c r="B39" s="1"/>
      <x:c r="C39" s="1"/>
    </x:row>
    <x:row r="40">
      <x:c r="A40" s="1"/>
      <x:c r="B40" s="1"/>
      <x:c r="C40" s="1"/>
    </x:row>
    <x:row r="41">
      <x:c r="A41" s="1"/>
      <x:c r="B41" s="1"/>
      <x:c r="C41" s="1"/>
    </x:row>
    <x:row r="42">
      <x:c r="A42" s="1"/>
      <x:c r="B42" s="1"/>
      <x:c r="C42" s="1"/>
    </x:row>
    <x:row r="43">
      <x:c r="A43" s="1"/>
      <x:c r="B43" s="1"/>
      <x:c r="C43" s="1"/>
    </x:row>
    <x:row r="44">
      <x:c r="A44" s="1"/>
      <x:c r="B44" s="1"/>
      <x:c r="C44" s="1"/>
    </x:row>
    <x:row r="45">
      <x:c r="A45" s="1"/>
      <x:c r="B45" s="1"/>
      <x:c r="C45" s="1"/>
    </x:row>
    <x:row r="46">
      <x:c r="A46" s="1"/>
      <x:c r="B46" s="1"/>
      <x:c r="C46" s="1"/>
    </x:row>
    <x:row r="47">
      <x:c r="A47" s="1"/>
      <x:c r="B47" s="1"/>
      <x:c r="C47" s="1"/>
    </x:row>
    <x:row r="48">
      <x:c r="A48" s="1"/>
      <x:c r="B48" s="1"/>
      <x:c r="C48" s="1"/>
    </x:row>
    <x:row r="49">
      <x:c r="A49" s="1"/>
      <x:c r="B49" s="1"/>
      <x:c r="C49" s="1"/>
    </x:row>
    <x:row r="50">
      <x:c r="A50" s="1"/>
      <x:c r="B50" s="1"/>
      <x:c r="C50" s="1"/>
    </x:row>
    <x:row r="51">
      <x:c r="A51" s="1"/>
      <x:c r="B51" s="1"/>
      <x:c r="C51" s="1"/>
    </x:row>
    <x:row r="52">
      <x:c r="A52" s="1"/>
      <x:c r="B52" s="1"/>
      <x:c r="C52" s="1"/>
    </x:row>
    <x:row r="53">
      <x:c r="A53" s="1"/>
      <x:c r="B53" s="1"/>
      <x:c r="C53" s="1"/>
    </x:row>
    <x:row r="54">
      <x:c r="A54" s="1"/>
      <x:c r="B54" s="1"/>
      <x:c r="C54" s="1"/>
    </x:row>
    <x:row r="55">
      <x:c r="A55" s="1"/>
      <x:c r="B55" s="1"/>
      <x:c r="C55" s="1"/>
    </x:row>
    <x:row r="56">
      <x:c r="A56" s="1"/>
      <x:c r="B56" s="1"/>
      <x:c r="C56" s="1"/>
    </x:row>
    <x:row r="57">
      <x:c r="A57" s="1"/>
      <x:c r="B57" s="1"/>
      <x:c r="C57" s="1"/>
    </x:row>
    <x:row r="58">
      <x:c r="A58" s="1"/>
      <x:c r="B58" s="1"/>
      <x:c r="C58" s="1"/>
    </x:row>
    <x:row r="59">
      <x:c r="A59" s="1"/>
      <x:c r="B59" s="1"/>
      <x:c r="C59" s="1"/>
    </x:row>
    <x:row r="60">
      <x:c r="A60" s="1"/>
      <x:c r="B60" s="1"/>
      <x:c r="C60" s="1"/>
    </x:row>
    <x:row r="61">
      <x:c r="A61" s="1"/>
      <x:c r="B61" s="1"/>
      <x:c r="C61" s="1"/>
    </x:row>
    <x:row r="62">
      <x:c r="A62" s="1"/>
      <x:c r="B62" s="1"/>
      <x:c r="C62" s="1"/>
    </x:row>
    <x:row r="63">
      <x:c r="A63" s="1"/>
      <x:c r="B63" s="1"/>
      <x:c r="C63" s="1"/>
    </x:row>
    <x:row r="64">
      <x:c r="A64" s="1"/>
      <x:c r="B64" s="1"/>
      <x:c r="C64" s="1"/>
    </x:row>
    <x:row r="65">
      <x:c r="A65" s="1"/>
      <x:c r="B65" s="1"/>
      <x:c r="C65" s="1"/>
    </x:row>
    <x:row r="66">
      <x:c r="A66" s="1"/>
      <x:c r="B66" s="1"/>
      <x:c r="C66" s="1"/>
    </x:row>
    <x:row r="67">
      <x:c r="A67" s="1"/>
      <x:c r="B67" s="1"/>
      <x:c r="C67" s="1"/>
    </x:row>
    <x:row r="68">
      <x:c r="A68" s="1"/>
      <x:c r="B68" s="1"/>
      <x:c r="C68" s="1"/>
    </x:row>
    <x:row r="69">
      <x:c r="A69" s="1"/>
      <x:c r="B69" s="1"/>
      <x:c r="C69" s="1"/>
    </x:row>
    <x:row r="70">
      <x:c r="A70" s="1"/>
      <x:c r="B70" s="1"/>
      <x:c r="C70" s="1"/>
    </x:row>
    <x:row r="71">
      <x:c r="A71" s="1"/>
      <x:c r="B71" s="1"/>
      <x:c r="C71" s="1"/>
    </x:row>
    <x:row r="72">
      <x:c r="A72" s="1"/>
      <x:c r="B72" s="1"/>
      <x:c r="C72" s="1"/>
    </x:row>
    <x:row r="73">
      <x:c r="A73" s="1"/>
      <x:c r="B73" s="1"/>
      <x:c r="C73" s="1"/>
    </x:row>
    <x:row r="74">
      <x:c r="A74" s="1"/>
      <x:c r="B74" s="1"/>
      <x:c r="C74" s="1"/>
    </x:row>
    <x:row r="75">
      <x:c r="A75" s="1"/>
      <x:c r="B75" s="1"/>
      <x:c r="C75" s="1"/>
    </x:row>
    <x:row r="76">
      <x:c r="A76" s="1"/>
      <x:c r="B76" s="1"/>
      <x:c r="C76" s="1"/>
    </x:row>
    <x:row r="77">
      <x:c r="A77" s="1"/>
      <x:c r="B77" s="1"/>
      <x:c r="C77" s="1"/>
    </x:row>
    <x:row r="78">
      <x:c r="A78" s="1"/>
      <x:c r="B78" s="1"/>
      <x:c r="C78" s="1"/>
    </x:row>
    <x:row r="79">
      <x:c r="A79" s="1"/>
      <x:c r="B79" s="1"/>
      <x:c r="C79" s="1"/>
    </x:row>
    <x:row r="80">
      <x:c r="A80" s="1"/>
      <x:c r="B80" s="1"/>
      <x:c r="C80" s="1"/>
    </x:row>
    <x:row r="81">
      <x:c r="A81" s="1"/>
      <x:c r="B81" s="1"/>
      <x:c r="C81" s="1"/>
    </x:row>
    <x:row r="82">
      <x:c r="A82" s="1"/>
      <x:c r="B82" s="1"/>
      <x:c r="C82" s="1"/>
    </x:row>
    <x:row r="83">
      <x:c r="A83" s="1"/>
      <x:c r="B83" s="1"/>
      <x:c r="C83" s="1"/>
    </x:row>
    <x:row r="84">
      <x:c r="A84" s="1"/>
      <x:c r="B84" s="1"/>
      <x:c r="C84" s="1"/>
    </x:row>
    <x:row r="85">
      <x:c r="A85" s="1"/>
      <x:c r="B85" s="1"/>
      <x:c r="C85" s="1"/>
    </x:row>
    <x:row r="86">
      <x:c r="A86" s="1"/>
      <x:c r="B86" s="1"/>
      <x:c r="C86" s="1"/>
    </x:row>
    <x:row r="87">
      <x:c r="A87" s="1"/>
      <x:c r="B87" s="1"/>
      <x:c r="C87" s="1"/>
    </x:row>
    <x:row r="88">
      <x:c r="A88" s="1"/>
      <x:c r="B88" s="1"/>
      <x:c r="C88" s="1"/>
    </x:row>
    <x:row r="89">
      <x:c r="A89" s="1"/>
      <x:c r="B89" s="1"/>
      <x:c r="C89" s="1"/>
    </x:row>
    <x:row r="90">
      <x:c r="A90" s="1"/>
      <x:c r="B90" s="1"/>
      <x:c r="C90" s="1"/>
    </x:row>
    <x:row r="91">
      <x:c r="A91" s="1"/>
      <x:c r="B91" s="1"/>
      <x:c r="C91" s="1"/>
    </x:row>
    <x:row r="92">
      <x:c r="A92" s="1"/>
      <x:c r="B92" s="1"/>
      <x:c r="C92" s="1"/>
    </x:row>
    <x:row r="93">
      <x:c r="A93" s="1"/>
      <x:c r="B93" s="1"/>
      <x:c r="C93" s="1"/>
    </x:row>
    <x:row r="94">
      <x:c r="A94" s="1"/>
      <x:c r="B94" s="1"/>
      <x:c r="C94" s="1"/>
    </x:row>
    <x:row r="95">
      <x:c r="A95" s="1"/>
      <x:c r="B95" s="1"/>
      <x:c r="C95" s="1"/>
    </x:row>
    <x:row r="96">
      <x:c r="A96" s="1"/>
      <x:c r="B96" s="1"/>
      <x:c r="C96" s="1"/>
    </x:row>
    <x:row r="97">
      <x:c r="A97" s="1"/>
      <x:c r="B97" s="1"/>
      <x:c r="C97" s="1"/>
    </x:row>
    <x:row r="98">
      <x:c r="A98" s="1"/>
      <x:c r="B98" s="1"/>
      <x:c r="C98" s="1"/>
    </x:row>
    <x:row r="99">
      <x:c r="A99" s="1"/>
      <x:c r="B99" s="1"/>
      <x:c r="C99" s="1"/>
    </x:row>
    <x:row r="100">
      <x:c r="A100" s="1"/>
      <x:c r="B100" s="1"/>
      <x:c r="C100" s="1"/>
    </x:row>
    <x:row r="101">
      <x:c r="A101" s="1"/>
      <x:c r="B101" s="1"/>
      <x:c r="C101" s="1"/>
    </x:row>
    <x:row r="102">
      <x:c r="A102" s="1"/>
      <x:c r="B102" s="1"/>
      <x:c r="C102" s="1"/>
    </x:row>
    <x:row r="103">
      <x:c r="A103" s="1"/>
      <x:c r="B103" s="1"/>
      <x:c r="C103" s="1"/>
    </x:row>
    <x:row r="104">
      <x:c r="A104" s="1"/>
      <x:c r="B104" s="1"/>
      <x:c r="C104" s="1"/>
    </x:row>
    <x:row r="105">
      <x:c r="A105" s="1"/>
      <x:c r="B105" s="1"/>
      <x:c r="C105" s="1"/>
    </x:row>
    <x:row r="106">
      <x:c r="A106" s="1"/>
      <x:c r="B106" s="1"/>
      <x:c r="C106" s="1"/>
    </x:row>
    <x:row r="107">
      <x:c r="A107" s="1"/>
      <x:c r="B107" s="1"/>
      <x:c r="C107" s="1"/>
    </x:row>
    <x:row r="108">
      <x:c r="A108" s="1"/>
      <x:c r="B108" s="1"/>
      <x:c r="C108" s="1"/>
    </x:row>
    <x:row r="109">
      <x:c r="A109" s="1"/>
      <x:c r="B109" s="1"/>
      <x:c r="C109" s="1"/>
    </x:row>
    <x:row r="110">
      <x:c r="A110" s="1"/>
      <x:c r="B110" s="1"/>
      <x:c r="C110" s="1"/>
    </x:row>
    <x:row r="111">
      <x:c r="A111" s="1"/>
      <x:c r="B111" s="1"/>
      <x:c r="C111" s="1"/>
    </x:row>
    <x:row r="112">
      <x:c r="A112" s="1"/>
      <x:c r="B112" s="1"/>
      <x:c r="C112" s="1"/>
    </x:row>
    <x:row r="113">
      <x:c r="A113" s="1"/>
      <x:c r="B113" s="1"/>
      <x:c r="C113" s="1"/>
    </x:row>
    <x:row r="114">
      <x:c r="A114" s="1"/>
      <x:c r="B114" s="1"/>
      <x:c r="C114" s="1"/>
    </x:row>
    <x:row r="115">
      <x:c r="A115" s="1"/>
      <x:c r="B115" s="1"/>
      <x:c r="C115" s="1"/>
    </x:row>
    <x:row r="116">
      <x:c r="A116" s="1"/>
      <x:c r="B116" s="1"/>
      <x:c r="C116" s="1"/>
    </x:row>
    <x:row r="117">
      <x:c r="A117" s="1"/>
      <x:c r="B117" s="1"/>
      <x:c r="C117" s="1"/>
    </x:row>
    <x:row r="118">
      <x:c r="A118" s="1"/>
      <x:c r="B118" s="1"/>
      <x:c r="C118" s="1"/>
    </x:row>
    <x:row r="119">
      <x:c r="A119" s="1"/>
      <x:c r="B119" s="1"/>
      <x:c r="C119" s="1"/>
    </x:row>
    <x:row r="120">
      <x:c r="A120" s="1"/>
      <x:c r="B120" s="1"/>
      <x:c r="C120" s="1"/>
    </x:row>
    <x:row r="121">
      <x:c r="A121" s="1"/>
      <x:c r="B121" s="1"/>
      <x:c r="C121" s="1"/>
    </x:row>
    <x:row r="122">
      <x:c r="A122" s="1"/>
      <x:c r="B122" s="1"/>
      <x:c r="C122" s="1"/>
    </x:row>
    <x:row r="123">
      <x:c r="A123" s="1"/>
      <x:c r="B123" s="1"/>
      <x:c r="C123" s="1"/>
    </x:row>
    <x:row r="124">
      <x:c r="A124" s="1"/>
      <x:c r="B124" s="1"/>
      <x:c r="C124" s="1"/>
    </x:row>
    <x:row r="125">
      <x:c r="A125" s="1"/>
      <x:c r="B125" s="1"/>
      <x:c r="C125" s="1"/>
    </x:row>
    <x:row r="126">
      <x:c r="A126" s="1"/>
      <x:c r="B126" s="1"/>
      <x:c r="C126" s="1"/>
    </x:row>
    <x:row r="127">
      <x:c r="A127" s="1"/>
      <x:c r="B127" s="1"/>
      <x:c r="C127" s="1"/>
    </x:row>
    <x:row r="128">
      <x:c r="A128" s="1"/>
      <x:c r="B128" s="1"/>
      <x:c r="C128" s="1"/>
    </x:row>
    <x:row r="129">
      <x:c r="A129" s="1"/>
      <x:c r="B129" s="1"/>
      <x:c r="C129" s="1"/>
    </x:row>
    <x:row r="130">
      <x:c r="A130" s="1"/>
      <x:c r="B130" s="1"/>
      <x:c r="C130" s="1"/>
    </x:row>
    <x:row r="131">
      <x:c r="A131" s="1"/>
      <x:c r="B131" s="1"/>
      <x:c r="C131" s="1"/>
    </x:row>
    <x:row r="132">
      <x:c r="A132" s="1"/>
      <x:c r="B132" s="1"/>
      <x:c r="C132" s="1"/>
    </x:row>
    <x:row r="133">
      <x:c r="A133" s="1"/>
      <x:c r="B133" s="1"/>
      <x:c r="C133" s="1"/>
    </x:row>
    <x:row r="134">
      <x:c r="A134" s="1"/>
      <x:c r="B134" s="1"/>
      <x:c r="C134" s="1"/>
    </x:row>
    <x:row r="135">
      <x:c r="A135" s="1"/>
      <x:c r="B135" s="1"/>
      <x:c r="C135" s="1"/>
    </x:row>
    <x:row r="136">
      <x:c r="A136" s="1"/>
      <x:c r="B136" s="1"/>
      <x:c r="C136" s="1"/>
    </x:row>
    <x:row r="137">
      <x:c r="A137" s="1"/>
      <x:c r="B137" s="1"/>
      <x:c r="C137" s="1"/>
    </x:row>
    <x:row r="138">
      <x:c r="A138" s="1"/>
      <x:c r="B138" s="1"/>
      <x:c r="C138" s="1"/>
    </x:row>
    <x:row r="139">
      <x:c r="A139" s="1"/>
      <x:c r="B139" s="1"/>
      <x:c r="C139" s="1"/>
    </x:row>
    <x:row r="140">
      <x:c r="A140" s="1"/>
      <x:c r="B140" s="1"/>
      <x:c r="C140" s="1"/>
    </x:row>
    <x:row r="141">
      <x:c r="A141" s="1"/>
      <x:c r="B141" s="1"/>
      <x:c r="C141" s="1"/>
    </x:row>
    <x:row r="142">
      <x:c r="A142" s="1"/>
      <x:c r="B142" s="1"/>
      <x:c r="C142" s="1"/>
    </x:row>
    <x:row r="143">
      <x:c r="A143" s="1"/>
      <x:c r="B143" s="1"/>
      <x:c r="C143" s="1"/>
    </x:row>
    <x:row r="144">
      <x:c r="A144" s="1"/>
      <x:c r="B144" s="1"/>
      <x:c r="C144" s="1"/>
    </x:row>
    <x:row r="145">
      <x:c r="A145" s="1"/>
      <x:c r="B145" s="1"/>
      <x:c r="C145" s="1"/>
    </x:row>
    <x:row r="146">
      <x:c r="A146" s="1"/>
      <x:c r="B146" s="1"/>
      <x:c r="C146" s="1"/>
    </x:row>
    <x:row r="147">
      <x:c r="A147" s="1"/>
      <x:c r="B147" s="1"/>
      <x:c r="C147" s="1"/>
    </x:row>
    <x:row r="148">
      <x:c r="A148" s="1"/>
      <x:c r="B148" s="1"/>
      <x:c r="C148" s="1"/>
    </x:row>
    <x:row r="149">
      <x:c r="A149" s="1"/>
      <x:c r="B149" s="1"/>
      <x:c r="C149" s="1"/>
    </x:row>
    <x:row r="150">
      <x:c r="A150" s="1"/>
      <x:c r="B150" s="1"/>
      <x:c r="C150" s="1"/>
    </x:row>
    <x:row r="151">
      <x:c r="A151" s="1"/>
      <x:c r="B151" s="1"/>
      <x:c r="C151" s="1"/>
    </x:row>
    <x:row r="152">
      <x:c r="A152" s="1"/>
      <x:c r="B152" s="1"/>
      <x:c r="C152" s="1"/>
    </x:row>
    <x:row r="153">
      <x:c r="A153" s="1"/>
      <x:c r="B153" s="1"/>
      <x:c r="C153" s="1"/>
    </x:row>
    <x:row r="154">
      <x:c r="A154" s="1"/>
      <x:c r="B154" s="1"/>
      <x:c r="C154" s="1"/>
    </x:row>
    <x:row r="155">
      <x:c r="A155" s="1"/>
      <x:c r="B155" s="1"/>
      <x:c r="C155" s="1"/>
    </x:row>
    <x:row r="156">
      <x:c r="A156" s="1"/>
      <x:c r="B156" s="1"/>
      <x:c r="C156" s="1"/>
    </x:row>
    <x:row r="157">
      <x:c r="A157" s="1"/>
      <x:c r="B157" s="1"/>
      <x:c r="C157" s="1"/>
    </x:row>
    <x:row r="158">
      <x:c r="A158" s="1"/>
      <x:c r="B158" s="1"/>
      <x:c r="C158" s="1"/>
    </x:row>
    <x:row r="159">
      <x:c r="A159" s="1"/>
      <x:c r="B159" s="1"/>
      <x:c r="C159" s="1"/>
    </x:row>
    <x:row r="160">
      <x:c r="A160" s="1"/>
      <x:c r="B160" s="1"/>
      <x:c r="C160" s="1"/>
    </x:row>
    <x:row r="161">
      <x:c r="A161" s="1"/>
      <x:c r="B161" s="1"/>
      <x:c r="C161" s="1"/>
    </x:row>
    <x:row r="162">
      <x:c r="A162" s="1"/>
      <x:c r="B162" s="1"/>
      <x:c r="C162" s="1"/>
    </x:row>
    <x:row r="163">
      <x:c r="A163" s="1"/>
      <x:c r="B163" s="1"/>
      <x:c r="C163" s="1"/>
    </x:row>
    <x:row r="164">
      <x:c r="A164" s="1"/>
      <x:c r="B164" s="1"/>
      <x:c r="C164" s="1"/>
    </x:row>
    <x:row r="165">
      <x:c r="A165" s="1"/>
      <x:c r="B165" s="1"/>
      <x:c r="C165" s="1"/>
    </x:row>
    <x:row r="166">
      <x:c r="A166" s="1"/>
      <x:c r="B166" s="1"/>
      <x:c r="C166" s="1"/>
    </x:row>
    <x:row r="167">
      <x:c r="A167" s="1"/>
      <x:c r="B167" s="1"/>
      <x:c r="C167" s="1"/>
    </x:row>
    <x:row r="168">
      <x:c r="A168" s="1"/>
      <x:c r="B168" s="1"/>
      <x:c r="C168" s="1"/>
    </x:row>
    <x:row r="169">
      <x:c r="A169" s="1"/>
      <x:c r="B169" s="1"/>
      <x:c r="C169" s="1"/>
    </x:row>
    <x:row r="170">
      <x:c r="A170" s="1"/>
      <x:c r="B170" s="1"/>
      <x:c r="C170" s="1"/>
    </x:row>
    <x:row r="171">
      <x:c r="A171" s="1"/>
      <x:c r="B171" s="1"/>
      <x:c r="C171" s="1"/>
    </x:row>
    <x:row r="172">
      <x:c r="A172" s="1"/>
      <x:c r="B172" s="1"/>
      <x:c r="C172" s="1"/>
    </x:row>
    <x:row r="173">
      <x:c r="A173" s="1"/>
      <x:c r="B173" s="1"/>
      <x:c r="C173" s="1"/>
    </x:row>
    <x:row r="174">
      <x:c r="A174" s="1"/>
      <x:c r="B174" s="1"/>
      <x:c r="C174" s="1"/>
    </x:row>
    <x:row r="175">
      <x:c r="A175" s="1"/>
      <x:c r="B175" s="1"/>
      <x:c r="C175" s="1"/>
    </x:row>
    <x:row r="176">
      <x:c r="A176" s="1"/>
      <x:c r="B176" s="1"/>
      <x:c r="C176" s="1"/>
    </x:row>
    <x:row r="177">
      <x:c r="A177" s="1"/>
      <x:c r="B177" s="1"/>
      <x:c r="C177" s="1"/>
    </x:row>
    <x:row r="178">
      <x:c r="A178" s="1"/>
      <x:c r="B178" s="1"/>
      <x:c r="C178" s="1"/>
    </x:row>
    <x:row r="179">
      <x:c r="A179" s="1"/>
      <x:c r="B179" s="1"/>
      <x:c r="C179" s="1"/>
    </x:row>
    <x:row r="180">
      <x:c r="A180" s="1"/>
      <x:c r="B180" s="1"/>
      <x:c r="C180" s="1"/>
    </x:row>
    <x:row r="181">
      <x:c r="A181" s="1"/>
      <x:c r="B181" s="1"/>
      <x:c r="C181" s="1"/>
    </x:row>
    <x:row r="182">
      <x:c r="A182" s="1"/>
      <x:c r="B182" s="1"/>
      <x:c r="C182" s="1"/>
    </x:row>
    <x:row r="183">
      <x:c r="A183" s="1"/>
      <x:c r="B183" s="1"/>
      <x:c r="C183" s="1"/>
    </x:row>
    <x:row r="184">
      <x:c r="A184" s="1"/>
      <x:c r="B184" s="1"/>
      <x:c r="C184" s="1"/>
    </x:row>
    <x:row r="185">
      <x:c r="A185" s="1"/>
      <x:c r="B185" s="1"/>
      <x:c r="C185" s="1"/>
    </x:row>
    <x:row r="186">
      <x:c r="A186" s="1"/>
      <x:c r="B186" s="1"/>
      <x:c r="C186" s="1"/>
    </x:row>
    <x:row r="187">
      <x:c r="A187" s="1"/>
      <x:c r="B187" s="1"/>
      <x:c r="C187" s="1"/>
    </x:row>
    <x:row r="188">
      <x:c r="A188" s="1"/>
      <x:c r="B188" s="1"/>
      <x:c r="C188" s="1"/>
    </x:row>
    <x:row r="189">
      <x:c r="A189" s="1"/>
      <x:c r="B189" s="1"/>
      <x:c r="C189" s="1"/>
    </x:row>
    <x:row r="190">
      <x:c r="A190" s="1"/>
      <x:c r="B190" s="1"/>
      <x:c r="C190" s="1"/>
    </x:row>
    <x:row r="191">
      <x:c r="A191" s="1"/>
      <x:c r="B191" s="1"/>
      <x:c r="C191" s="1"/>
    </x:row>
    <x:row r="192">
      <x:c r="A192" s="1"/>
      <x:c r="B192" s="1"/>
      <x:c r="C192" s="1"/>
    </x:row>
    <x:row r="193">
      <x:c r="A193" s="1"/>
      <x:c r="B193" s="1"/>
      <x:c r="C193" s="1"/>
    </x:row>
    <x:row r="194">
      <x:c r="A194" s="1"/>
      <x:c r="B194" s="1"/>
      <x:c r="C194" s="1"/>
    </x:row>
    <x:row r="195">
      <x:c r="A195" s="1"/>
      <x:c r="B195" s="1"/>
      <x:c r="C195" s="1"/>
    </x:row>
    <x:row r="196">
      <x:c r="A196" s="1"/>
      <x:c r="B196" s="1"/>
      <x:c r="C196" s="1"/>
    </x:row>
    <x:row r="197">
      <x:c r="A197" s="1"/>
      <x:c r="B197" s="1"/>
      <x:c r="C197" s="1"/>
    </x:row>
    <x:row r="198">
      <x:c r="A198" s="1"/>
      <x:c r="B198" s="1"/>
      <x:c r="C198" s="1"/>
    </x:row>
    <x:row r="199">
      <x:c r="A199" s="1"/>
      <x:c r="B199" s="1"/>
      <x:c r="C199" s="1"/>
    </x:row>
    <x:row r="200">
      <x:c r="A200" s="1"/>
      <x:c r="B200" s="1"/>
      <x:c r="C2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8" hidden="0" customWidth="1"/>
    <x:col min="4" max="4" width="18" hidden="0" customWidth="1"/>
    <x:col min="5" max="5" width="26" hidden="0" customWidth="1"/>
    <x:col min="6" max="6" width="20" hidden="0" customWidth="1"/>
    <x:col min="7" max="7" width="34" hidden="0" customWidth="1"/>
    <x:col min="8" max="8" width="28" hidden="0" customWidth="1"/>
    <x:col min="9" max="9" width="34" hidden="0" customWidth="1"/>
    <x:col min="10" max="10" width="24" hidden="0" customWidth="1"/>
    <x:col min="11" max="11" width="10" hidden="0" customWidth="1"/>
    <x:col min="12" max="12" width="10" hidden="0" customWidth="1"/>
  </x:cols>
  <x:sheetData>
    <x:row r="1">
      <x:c r="A1" s="15" t="str">
        <x:v>category_id</x:v>
      </x:c>
      <x:c r="B1" s="15" t="str">
        <x:v>parent_id</x:v>
      </x:c>
      <x:c r="C1" s="15" t="str">
        <x:v>level</x:v>
      </x:c>
      <x:c r="D1" s="15" t="str">
        <x:v>slug</x:v>
      </x:c>
      <x:c r="E1" s="15" t="str">
        <x:v>name_bg</x:v>
      </x:c>
      <x:c r="F1" s="15" t="str">
        <x:v>menu_label</x:v>
      </x:c>
      <x:c r="G1" s="15" t="str">
        <x:v>short_description</x:v>
      </x:c>
      <x:c r="H1" s="15" t="str">
        <x:v>hero_title</x:v>
      </x:c>
      <x:c r="I1" s="15" t="str">
        <x:v>hero_subtitle</x:v>
      </x:c>
      <x:c r="J1" s="15" t="str">
        <x:v>image</x:v>
      </x:c>
      <x:c r="K1" s="15" t="str">
        <x:v>sort_order</x:v>
      </x:c>
      <x:c r="L1" s="15" t="str">
        <x:v>is_active</x:v>
      </x:c>
    </x:row>
    <x:row r="2">
      <x:c r="A2" s="1" t="str">
        <x:v>CAT-FENCES</x:v>
      </x:c>
      <x:c r="B2" s="1" t="str"/>
      <x:c r="C2" s="1" t="n">
        <x:v>1</x:v>
      </x:c>
      <x:c r="D2" s="1" t="str">
        <x:v>ogradi</x:v>
      </x:c>
      <x:c r="E2" s="1" t="str">
        <x:v>Огради</x:v>
      </x:c>
      <x:c r="F2" s="1" t="str">
        <x:v>Огради</x:v>
      </x:c>
      <x:c r="G2" s="1" t="str">
        <x:v>Решения за дворни, жилищни и бизнес обекти.</x:v>
      </x:c>
      <x:c r="H2" s="1" t="str">
        <x:v>Огради за сигурност и завършен вид</x:v>
      </x:c>
      <x:c r="I2" s="1" t="str">
        <x:v>Ламелни, панелни и дворни решения за частни и бизнес обекти.</x:v>
      </x:c>
      <x:c r="J2" s="1" t="str">
        <x:v>assets/cat-fences-main.jpg</x:v>
      </x:c>
      <x:c r="K2" s="1" t="n">
        <x:v>1</x:v>
      </x:c>
      <x:c r="L2" s="1" t="str">
        <x:v>Да</x:v>
      </x:c>
    </x:row>
    <x:row r="3">
      <x:c r="A3" s="1" t="str">
        <x:v>CAT-SYSTEMS</x:v>
      </x:c>
      <x:c r="B3" s="1" t="str"/>
      <x:c r="C3" s="1" t="n">
        <x:v>1</x:v>
      </x:c>
      <x:c r="D3" s="1" t="str">
        <x:v>ogradni-sistemi</x:v>
      </x:c>
      <x:c r="E3" s="1" t="str">
        <x:v>Оградни системи</x:v>
      </x:c>
      <x:c r="F3" s="1" t="str">
        <x:v>Оградни системи</x:v>
      </x:c>
      <x:c r="G3" s="1" t="str">
        <x:v>Пана, колове, мрежи, портални решения и аксесоари.</x:v>
      </x:c>
      <x:c r="H3" s="1" t="str">
        <x:v>Оградни системи и аксесоари</x:v>
      </x:c>
      <x:c r="I3" s="1" t="str">
        <x:v>Практична продуктова база за монтаж, завършване и разширение на периметър.</x:v>
      </x:c>
      <x:c r="J3" s="1" t="str">
        <x:v>assets/cat-systems.jpg</x:v>
      </x:c>
      <x:c r="K3" s="1" t="n">
        <x:v>2</x:v>
      </x:c>
      <x:c r="L3" s="1" t="str">
        <x:v>Да</x:v>
      </x:c>
    </x:row>
    <x:row r="4">
      <x:c r="A4" s="1" t="str">
        <x:v>CAT-DOORS</x:v>
      </x:c>
      <x:c r="B4" s="1" t="str"/>
      <x:c r="C4" s="1" t="n">
        <x:v>1</x:v>
      </x:c>
      <x:c r="D4" s="1" t="str">
        <x:v>vrati</x:v>
      </x:c>
      <x:c r="E4" s="1" t="str">
        <x:v>Интериорни и блиндирани врати</x:v>
      </x:c>
      <x:c r="F4" s="1" t="str">
        <x:v>Врати</x:v>
      </x:c>
      <x:c r="G4" s="1" t="str">
        <x:v>Вътрешни, входни и защитни решения.</x:v>
      </x:c>
      <x:c r="H4" s="1" t="str">
        <x:v>Врати за интериор и сигурност</x:v>
      </x:c>
      <x:c r="I4" s="1" t="str">
        <x:v>Практичен избор за апартаменти, къщи, офиси и търговски площи.</x:v>
      </x:c>
      <x:c r="J4" s="1" t="str">
        <x:v>assets/cat-doors.jpg</x:v>
      </x:c>
      <x:c r="K4" s="1" t="n">
        <x:v>3</x:v>
      </x:c>
      <x:c r="L4" s="1" t="str">
        <x:v>Да</x:v>
      </x:c>
    </x:row>
    <x:row r="5">
      <x:c r="A5" s="1" t="str">
        <x:v>CAT-MAT</x:v>
      </x:c>
      <x:c r="B5" s="1" t="str"/>
      <x:c r="C5" s="1" t="n">
        <x:v>1</x:v>
      </x:c>
      <x:c r="D5" s="1" t="str">
        <x:v>stroitelni-materiali</x:v>
      </x:c>
      <x:c r="E5" s="1" t="str">
        <x:v>Строителни материали</x:v>
      </x:c>
      <x:c r="F5" s="1" t="str">
        <x:v>Материали</x:v>
      </x:c>
      <x:c r="G5" s="1" t="str">
        <x:v>Сухи смеси, изолации, крепеж и основни строителни продукти.</x:v>
      </x:c>
      <x:c r="H5" s="1" t="str">
        <x:v>Строителни материали за обекти</x:v>
      </x:c>
      <x:c r="I5" s="1" t="str">
        <x:v>Практичен асортимент за строеж, ремонт и довършителни работи.</x:v>
      </x:c>
      <x:c r="J5" s="1" t="str">
        <x:v>assets/cat-materials.jpg</x:v>
      </x:c>
      <x:c r="K5" s="1" t="n">
        <x:v>4</x:v>
      </x:c>
      <x:c r="L5" s="1" t="str">
        <x:v>Да</x:v>
      </x:c>
    </x:row>
    <x:row r="6">
      <x:c r="A6" s="1" t="str">
        <x:v>CAT-TILES</x:v>
      </x:c>
      <x:c r="B6" s="1" t="str"/>
      <x:c r="C6" s="1" t="n">
        <x:v>1</x:v>
      </x:c>
      <x:c r="D6" s="1" t="str">
        <x:v>plochki</x:v>
      </x:c>
      <x:c r="E6" s="1" t="str">
        <x:v>Плочки</x:v>
      </x:c>
      <x:c r="F6" s="1" t="str">
        <x:v>Плочки</x:v>
      </x:c>
      <x:c r="G6" s="1" t="str">
        <x:v>Интериорни и екстериорни плочки и гранитогрес.</x:v>
      </x:c>
      <x:c r="H6" s="1" t="str">
        <x:v>Плочки за интериор и екстериор</x:v>
      </x:c>
      <x:c r="I6" s="1" t="str">
        <x:v>Решения за бани, кухни, тераси и външни зони.</x:v>
      </x:c>
      <x:c r="J6" s="1" t="str">
        <x:v>assets/cat-tiles.jpg</x:v>
      </x:c>
      <x:c r="K6" s="1" t="n">
        <x:v>5</x:v>
      </x:c>
      <x:c r="L6" s="1" t="str">
        <x:v>Да</x:v>
      </x:c>
    </x:row>
    <x:row r="7">
      <x:c r="A7" s="1" t="str">
        <x:v>CAT-GRANITE</x:v>
      </x:c>
      <x:c r="B7" s="1" t="str"/>
      <x:c r="C7" s="1" t="n">
        <x:v>1</x:v>
      </x:c>
      <x:c r="D7" s="1" t="str">
        <x:v>granit</x:v>
      </x:c>
      <x:c r="E7" s="1" t="str">
        <x:v>Гранит</x:v>
      </x:c>
      <x:c r="F7" s="1" t="str">
        <x:v>Гранит</x:v>
      </x:c>
      <x:c r="G7" s="1" t="str">
        <x:v>Гранитни плочи, стъпала и детайли.</x:v>
      </x:c>
      <x:c r="H7" s="1" t="str">
        <x:v>Гранит за натоварени зони</x:v>
      </x:c>
      <x:c r="I7" s="1" t="str">
        <x:v>Издръжливи решения за стъпала, външни настилки и фасадни елементи.</x:v>
      </x:c>
      <x:c r="J7" s="1" t="str">
        <x:v>assets/cat-granite.jpg</x:v>
      </x:c>
      <x:c r="K7" s="1" t="n">
        <x:v>6</x:v>
      </x:c>
      <x:c r="L7" s="1" t="str">
        <x:v>Да</x:v>
      </x:c>
    </x:row>
    <x:row r="8">
      <x:c r="A8" s="1" t="str">
        <x:v>CAT-STONE</x:v>
      </x:c>
      <x:c r="B8" s="1" t="str"/>
      <x:c r="C8" s="1" t="n">
        <x:v>1</x:v>
      </x:c>
      <x:c r="D8" s="1" t="str">
        <x:v>kamak</x:v>
      </x:c>
      <x:c r="E8" s="1" t="str">
        <x:v>Камък</x:v>
      </x:c>
      <x:c r="F8" s="1" t="str">
        <x:v>Камък</x:v>
      </x:c>
      <x:c r="G8" s="1" t="str">
        <x:v>Естествен и декоративен камък за облицовки и акценти.</x:v>
      </x:c>
      <x:c r="H8" s="1" t="str">
        <x:v>Камък за облицовки и екстериор</x:v>
      </x:c>
      <x:c r="I8" s="1" t="str">
        <x:v>Подходящ за фасади, огради, дворове и декоративни зони.</x:v>
      </x:c>
      <x:c r="J8" s="1" t="str">
        <x:v>assets/cat-stone.jpg</x:v>
      </x:c>
      <x:c r="K8" s="1" t="n">
        <x:v>7</x:v>
      </x:c>
      <x:c r="L8" s="1" t="str">
        <x:v>Да</x:v>
      </x:c>
    </x:row>
    <x:row r="9">
      <x:c r="A9" s="1" t="str">
        <x:v>SUB-LAM</x:v>
      </x:c>
      <x:c r="B9" s="1" t="str">
        <x:v>CAT-FENCES</x:v>
      </x:c>
      <x:c r="C9" s="1" t="n">
        <x:v>2</x:v>
      </x:c>
      <x:c r="D9" s="1" t="str">
        <x:v>lamelni-ogradi</x:v>
      </x:c>
      <x:c r="E9" s="1" t="str">
        <x:v>Ламелни огради</x:v>
      </x:c>
      <x:c r="F9" s="1" t="str">
        <x:v>Ламелни</x:v>
      </x:c>
      <x:c r="G9" s="1" t="str">
        <x:v>Съвременни хоризонтални решения с по-висока защита на личното пространство.</x:v>
      </x:c>
      <x:c r="H9" s="1" t="str"/>
      <x:c r="I9" s="1" t="str"/>
      <x:c r="J9" s="1" t="str">
        <x:v>assets/hero-slide-1.jpg</x:v>
      </x:c>
      <x:c r="K9" s="1" t="n">
        <x:v>10</x:v>
      </x:c>
      <x:c r="L9" s="1" t="str">
        <x:v>Да</x:v>
      </x:c>
    </x:row>
    <x:row r="10">
      <x:c r="A10" s="1" t="str">
        <x:v>SUB-YARD</x:v>
      </x:c>
      <x:c r="B10" s="1" t="str">
        <x:v>CAT-FENCES</x:v>
      </x:c>
      <x:c r="C10" s="1" t="n">
        <x:v>2</x:v>
      </x:c>
      <x:c r="D10" s="1" t="str">
        <x:v>dvorni-ogradi</x:v>
      </x:c>
      <x:c r="E10" s="1" t="str">
        <x:v>Дворни огради</x:v>
      </x:c>
      <x:c r="F10" s="1" t="str">
        <x:v>Дворни</x:v>
      </x:c>
      <x:c r="G10" s="1" t="str">
        <x:v>Класически решения за частни имоти и вилни зони.</x:v>
      </x:c>
      <x:c r="H10" s="1" t="str"/>
      <x:c r="I10" s="1" t="str"/>
      <x:c r="J10" s="1" t="str">
        <x:v>assets/cat-fences-main.jpg</x:v>
      </x:c>
      <x:c r="K10" s="1" t="n">
        <x:v>11</x:v>
      </x:c>
      <x:c r="L10" s="1" t="str">
        <x:v>Да</x:v>
      </x:c>
    </x:row>
    <x:row r="11">
      <x:c r="A11" s="1" t="str">
        <x:v>SUB-PANELS</x:v>
      </x:c>
      <x:c r="B11" s="1" t="str">
        <x:v>CAT-SYSTEMS</x:v>
      </x:c>
      <x:c r="C11" s="1" t="n">
        <x:v>2</x:v>
      </x:c>
      <x:c r="D11" s="1" t="str">
        <x:v>ogradni-pana</x:v>
      </x:c>
      <x:c r="E11" s="1" t="str">
        <x:v>Оградни пана</x:v>
      </x:c>
      <x:c r="F11" s="1" t="str">
        <x:v>Пана</x:v>
      </x:c>
      <x:c r="G11" s="1" t="str">
        <x:v>Поцинковани и прахово боядисани панели за цялостни системи.</x:v>
      </x:c>
      <x:c r="H11" s="1" t="str"/>
      <x:c r="I11" s="1" t="str"/>
      <x:c r="J11" s="1" t="str">
        <x:v>assets/cat-fences-main.jpg</x:v>
      </x:c>
      <x:c r="K11" s="1" t="n">
        <x:v>12</x:v>
      </x:c>
      <x:c r="L11" s="1" t="str">
        <x:v>Да</x:v>
      </x:c>
    </x:row>
    <x:row r="12">
      <x:c r="A12" s="1" t="str">
        <x:v>SUB-MESH</x:v>
      </x:c>
      <x:c r="B12" s="1" t="str">
        <x:v>CAT-SYSTEMS</x:v>
      </x:c>
      <x:c r="C12" s="1" t="n">
        <x:v>2</x:v>
      </x:c>
      <x:c r="D12" s="1" t="str">
        <x:v>ogradni-mrezhi</x:v>
      </x:c>
      <x:c r="E12" s="1" t="str">
        <x:v>Оградни мрежи</x:v>
      </x:c>
      <x:c r="F12" s="1" t="str">
        <x:v>Мрежи</x:v>
      </x:c>
      <x:c r="G12" s="1" t="str">
        <x:v>Практични решения за дворове, земеделски и индустриални площи.</x:v>
      </x:c>
      <x:c r="H12" s="1" t="str"/>
      <x:c r="I12" s="1" t="str"/>
      <x:c r="J12" s="1" t="str">
        <x:v>assets/cat-fences-alt.jpg</x:v>
      </x:c>
      <x:c r="K12" s="1" t="n">
        <x:v>13</x:v>
      </x:c>
      <x:c r="L12" s="1" t="str">
        <x:v>Да</x:v>
      </x:c>
    </x:row>
    <x:row r="13">
      <x:c r="A13" s="1" t="str">
        <x:v>SUB-POSTS</x:v>
      </x:c>
      <x:c r="B13" s="1" t="str">
        <x:v>CAT-SYSTEMS</x:v>
      </x:c>
      <x:c r="C13" s="1" t="n">
        <x:v>2</x:v>
      </x:c>
      <x:c r="D13" s="1" t="str">
        <x:v>kolove-i-aksesoari</x:v>
      </x:c>
      <x:c r="E13" s="1" t="str">
        <x:v>Колове и аксесоари</x:v>
      </x:c>
      <x:c r="F13" s="1" t="str">
        <x:v>Колове</x:v>
      </x:c>
      <x:c r="G13" s="1" t="str">
        <x:v>Колове, капачки, скоби, тел и монтажни елементи.</x:v>
      </x:c>
      <x:c r="H13" s="1" t="str"/>
      <x:c r="I13" s="1" t="str"/>
      <x:c r="J13" s="1" t="str">
        <x:v>assets/cat-systems.jpg</x:v>
      </x:c>
      <x:c r="K13" s="1" t="n">
        <x:v>14</x:v>
      </x:c>
      <x:c r="L13" s="1" t="str">
        <x:v>Да</x:v>
      </x:c>
    </x:row>
    <x:row r="14">
      <x:c r="A14" s="1" t="str">
        <x:v>SUB-GATES</x:v>
      </x:c>
      <x:c r="B14" s="1" t="str">
        <x:v>CAT-SYSTEMS</x:v>
      </x:c>
      <x:c r="C14" s="1" t="n">
        <x:v>2</x:v>
      </x:c>
      <x:c r="D14" s="1" t="str">
        <x:v>portalni-sistemi</x:v>
      </x:c>
      <x:c r="E14" s="1" t="str">
        <x:v>Портални системи</x:v>
      </x:c>
      <x:c r="F14" s="1" t="str">
        <x:v>Портали</x:v>
      </x:c>
      <x:c r="G14" s="1" t="str">
        <x:v>Плъзгащи и двукрили системи за контрол на достъпа.</x:v>
      </x:c>
      <x:c r="H14" s="1" t="str"/>
      <x:c r="I14" s="1" t="str"/>
      <x:c r="J14" s="1" t="str">
        <x:v>assets/cat-systems.jpg</x:v>
      </x:c>
      <x:c r="K14" s="1" t="n">
        <x:v>15</x:v>
      </x:c>
      <x:c r="L14" s="1" t="str">
        <x:v>Да</x:v>
      </x:c>
    </x:row>
    <x:row r="15">
      <x:c r="A15" s="1" t="str">
        <x:v>SUB-INT</x:v>
      </x:c>
      <x:c r="B15" s="1" t="str">
        <x:v>CAT-DOORS</x:v>
      </x:c>
      <x:c r="C15" s="1" t="n">
        <x:v>2</x:v>
      </x:c>
      <x:c r="D15" s="1" t="str">
        <x:v>interiorni-vrati</x:v>
      </x:c>
      <x:c r="E15" s="1" t="str">
        <x:v>Интериорни врати</x:v>
      </x:c>
      <x:c r="F15" s="1" t="str">
        <x:v>Интериорни</x:v>
      </x:c>
      <x:c r="G15" s="1" t="str">
        <x:v>Модели за жилища, офиси и търговски площи.</x:v>
      </x:c>
      <x:c r="H15" s="1" t="str"/>
      <x:c r="I15" s="1" t="str"/>
      <x:c r="J15" s="1" t="str">
        <x:v>assets/cat-doors.jpg</x:v>
      </x:c>
      <x:c r="K15" s="1" t="n">
        <x:v>16</x:v>
      </x:c>
      <x:c r="L15" s="1" t="str">
        <x:v>Да</x:v>
      </x:c>
    </x:row>
    <x:row r="16">
      <x:c r="A16" s="1" t="str">
        <x:v>SUB-SEC</x:v>
      </x:c>
      <x:c r="B16" s="1" t="str">
        <x:v>CAT-DOORS</x:v>
      </x:c>
      <x:c r="C16" s="1" t="n">
        <x:v>2</x:v>
      </x:c>
      <x:c r="D16" s="1" t="str">
        <x:v>blindirani-vrati</x:v>
      </x:c>
      <x:c r="E16" s="1" t="str">
        <x:v>Блиндирани врати</x:v>
      </x:c>
      <x:c r="F16" s="1" t="str">
        <x:v>Блиндирани</x:v>
      </x:c>
      <x:c r="G16" s="1" t="str">
        <x:v>За по-висока сигурност и стабилност на входове.</x:v>
      </x:c>
      <x:c r="H16" s="1" t="str"/>
      <x:c r="I16" s="1" t="str"/>
      <x:c r="J16" s="1" t="str">
        <x:v>assets/cat-doors.jpg</x:v>
      </x:c>
      <x:c r="K16" s="1" t="n">
        <x:v>17</x:v>
      </x:c>
      <x:c r="L16" s="1" t="str">
        <x:v>Да</x:v>
      </x:c>
    </x:row>
    <x:row r="17">
      <x:c r="A17" s="1" t="str">
        <x:v>SUB-PORC</x:v>
      </x:c>
      <x:c r="B17" s="1" t="str">
        <x:v>CAT-TILES</x:v>
      </x:c>
      <x:c r="C17" s="1" t="n">
        <x:v>2</x:v>
      </x:c>
      <x:c r="D17" s="1" t="str">
        <x:v>granitogres</x:v>
      </x:c>
      <x:c r="E17" s="1" t="str">
        <x:v>Гранитогрес</x:v>
      </x:c>
      <x:c r="F17" s="1" t="str">
        <x:v>Гранитогрес</x:v>
      </x:c>
      <x:c r="G17" s="1" t="str">
        <x:v>Устойчиви решения за натоварени вътрешни и външни площи.</x:v>
      </x:c>
      <x:c r="H17" s="1" t="str"/>
      <x:c r="I17" s="1" t="str"/>
      <x:c r="J17" s="1" t="str">
        <x:v>assets/cat-tiles.jpg</x:v>
      </x:c>
      <x:c r="K17" s="1" t="n">
        <x:v>18</x:v>
      </x:c>
      <x:c r="L17" s="1" t="str">
        <x:v>Да</x:v>
      </x:c>
    </x:row>
    <x:row r="18">
      <x:c r="A18" s="1" t="str">
        <x:v>SUB-OUTT</x:v>
      </x:c>
      <x:c r="B18" s="1" t="str">
        <x:v>CAT-TILES</x:v>
      </x:c>
      <x:c r="C18" s="1" t="n">
        <x:v>2</x:v>
      </x:c>
      <x:c r="D18" s="1" t="str">
        <x:v>vunshni-plochki</x:v>
      </x:c>
      <x:c r="E18" s="1" t="str">
        <x:v>Външни плочки</x:v>
      </x:c>
      <x:c r="F18" s="1" t="str">
        <x:v>Външни</x:v>
      </x:c>
      <x:c r="G18" s="1" t="str">
        <x:v>Плочки за тераси, дворове и външни пътеки.</x:v>
      </x:c>
      <x:c r="H18" s="1" t="str"/>
      <x:c r="I18" s="1" t="str"/>
      <x:c r="J18" s="1" t="str">
        <x:v>assets/cat-tiles.jpg</x:v>
      </x:c>
      <x:c r="K18" s="1" t="n">
        <x:v>19</x:v>
      </x:c>
      <x:c r="L18" s="1" t="str">
        <x:v>Да</x:v>
      </x:c>
    </x:row>
    <x:row r="19">
      <x:c r="A19" s="1" t="str">
        <x:v>SUB-STEP</x:v>
      </x:c>
      <x:c r="B19" s="1" t="str">
        <x:v>CAT-GRANITE</x:v>
      </x:c>
      <x:c r="C19" s="1" t="n">
        <x:v>2</x:v>
      </x:c>
      <x:c r="D19" s="1" t="str">
        <x:v>granitni-stupala</x:v>
      </x:c>
      <x:c r="E19" s="1" t="str">
        <x:v>Гранитни стъпала</x:v>
      </x:c>
      <x:c r="F19" s="1" t="str">
        <x:v>Стъпала</x:v>
      </x:c>
      <x:c r="G19" s="1" t="str">
        <x:v>Гранитни стъпала и челни детайли.</x:v>
      </x:c>
      <x:c r="H19" s="1" t="str"/>
      <x:c r="I19" s="1" t="str"/>
      <x:c r="J19" s="1" t="str">
        <x:v>assets/cat-granite.jpg</x:v>
      </x:c>
      <x:c r="K19" s="1" t="n">
        <x:v>20</x:v>
      </x:c>
      <x:c r="L19" s="1" t="str">
        <x:v>Да</x:v>
      </x:c>
    </x:row>
    <x:row r="20">
      <x:c r="A20" s="1" t="str">
        <x:v>SUB-CLAD</x:v>
      </x:c>
      <x:c r="B20" s="1" t="str">
        <x:v>CAT-STONE</x:v>
      </x:c>
      <x:c r="C20" s="1" t="n">
        <x:v>2</x:v>
      </x:c>
      <x:c r="D20" s="1" t="str">
        <x:v>oblicovuchen-kamuk</x:v>
      </x:c>
      <x:c r="E20" s="1" t="str">
        <x:v>Облицовъчен камък</x:v>
      </x:c>
      <x:c r="F20" s="1" t="str">
        <x:v>Облицовки</x:v>
      </x:c>
      <x:c r="G20" s="1" t="str">
        <x:v>Камък за фасади, огради и декоративни елементи.</x:v>
      </x:c>
      <x:c r="H20" s="1" t="str"/>
      <x:c r="I20" s="1" t="str"/>
      <x:c r="J20" s="1" t="str">
        <x:v>assets/cat-stone.jpg</x:v>
      </x:c>
      <x:c r="K20" s="1" t="n">
        <x:v>21</x:v>
      </x:c>
      <x:c r="L20" s="1" t="str">
        <x:v>Да</x:v>
      </x:c>
    </x:row>
    <x:row r="21">
      <x:c r="A21" s="1" t="str">
        <x:v>SUB-MIX</x:v>
      </x:c>
      <x:c r="B21" s="1" t="str">
        <x:v>CAT-MAT</x:v>
      </x:c>
      <x:c r="C21" s="1" t="n">
        <x:v>2</x:v>
      </x:c>
      <x:c r="D21" s="1" t="str">
        <x:v>suhi-smesi</x:v>
      </x:c>
      <x:c r="E21" s="1" t="str">
        <x:v>Сухи смеси</x:v>
      </x:c>
      <x:c r="F21" s="1" t="str">
        <x:v>Сухи смеси</x:v>
      </x:c>
      <x:c r="G21" s="1" t="str">
        <x:v>Лепила, шпакловки, фуги и разтвори.</x:v>
      </x:c>
      <x:c r="H21" s="1" t="str"/>
      <x:c r="I21" s="1" t="str"/>
      <x:c r="J21" s="1" t="str">
        <x:v>assets/cat-materials.jpg</x:v>
      </x:c>
      <x:c r="K21" s="1" t="n">
        <x:v>22</x:v>
      </x:c>
      <x:c r="L21" s="1" t="str">
        <x:v>Да</x:v>
      </x:c>
    </x:row>
    <x:row r="22">
      <x:c r="A22" s="1" t="str">
        <x:v>SUB-INS</x:v>
      </x:c>
      <x:c r="B22" s="1" t="str">
        <x:v>CAT-MAT</x:v>
      </x:c>
      <x:c r="C22" s="1" t="n">
        <x:v>2</x:v>
      </x:c>
      <x:c r="D22" s="1" t="str">
        <x:v>izolacii</x:v>
      </x:c>
      <x:c r="E22" s="1" t="str">
        <x:v>Изолации</x:v>
      </x:c>
      <x:c r="F22" s="1" t="str">
        <x:v>Изолации</x:v>
      </x:c>
      <x:c r="G22" s="1" t="str">
        <x:v>XPS, EPS и съпътстващи материали.</x:v>
      </x:c>
      <x:c r="H22" s="1" t="str"/>
      <x:c r="I22" s="1" t="str"/>
      <x:c r="J22" s="1" t="str">
        <x:v>assets/cat-materials.jpg</x:v>
      </x:c>
      <x:c r="K22" s="1" t="n">
        <x:v>23</x:v>
      </x:c>
      <x:c r="L22" s="1" t="str">
        <x:v>Да</x:v>
      </x:c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</x:row>
  </x:sheetData>
  <x:pageMargins left="0.7" right="0.7" top="0.75" bottom="0.75" header="0.3" footer="0.3"/>
  <x:tableParts count="1">
    <x:tablePart xmlns:r="http://schemas.openxmlformats.org/officeDocument/2006/relationships" r:id="R9f1713396bbc4b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8" hidden="0" customWidth="1"/>
    <x:col min="5" max="5" width="34" hidden="0" customWidth="1"/>
    <x:col min="6" max="6" width="38" hidden="0" customWidth="1"/>
    <x:col min="7" max="7" width="18" hidden="0" customWidth="1"/>
    <x:col min="8" max="8" width="14" hidden="0" customWidth="1"/>
    <x:col min="9" max="9" width="18" hidden="0" customWidth="1"/>
    <x:col min="10" max="10" width="10" hidden="0" customWidth="1"/>
    <x:col min="11" max="11" width="12" hidden="0" customWidth="1"/>
    <x:col min="12" max="12" width="14" hidden="0" customWidth="1"/>
    <x:col min="13" max="13" width="10" hidden="0" customWidth="1"/>
    <x:col min="14" max="14" width="10" hidden="0" customWidth="1"/>
    <x:col min="15" max="15" width="16" hidden="0" customWidth="1"/>
    <x:col min="16" max="16" width="12" hidden="0" customWidth="1"/>
    <x:col min="17" max="17" width="10" hidden="0" customWidth="1"/>
    <x:col min="18" max="18" width="26" hidden="0" customWidth="1"/>
    <x:col min="19" max="19" width="24" hidden="0" customWidth="1"/>
    <x:col min="20" max="20" width="24" hidden="0" customWidth="1"/>
    <x:col min="21" max="21" width="24" hidden="0" customWidth="1"/>
    <x:col min="22" max="22" width="28" hidden="0" customWidth="1"/>
    <x:col min="23" max="23" width="36" hidden="0" customWidth="1"/>
    <x:col min="24" max="24" width="18" hidden="0" customWidth="1"/>
    <x:col min="25" max="25" width="10" hidden="0" customWidth="1"/>
  </x:cols>
  <x:sheetData>
    <x:row r="1">
      <x:c r="A1" s="15" t="str">
        <x:v>product_id</x:v>
      </x:c>
      <x:c r="B1" s="15" t="str">
        <x:v>sku</x:v>
      </x:c>
      <x:c r="C1" s="15" t="str">
        <x:v>category_slug</x:v>
      </x:c>
      <x:c r="D1" s="15" t="str">
        <x:v>subcategory_slug</x:v>
      </x:c>
      <x:c r="E1" s="15" t="str">
        <x:v>name_bg</x:v>
      </x:c>
      <x:c r="F1" s="15" t="str">
        <x:v>short_desc_bg</x:v>
      </x:c>
      <x:c r="G1" s="15" t="str">
        <x:v>material</x:v>
      </x:c>
      <x:c r="H1" s="15" t="str">
        <x:v>color</x:v>
      </x:c>
      <x:c r="I1" s="15" t="str">
        <x:v>size</x:v>
      </x:c>
      <x:c r="J1" s="15" t="str">
        <x:v>unit</x:v>
      </x:c>
      <x:c r="K1" s="15" t="str">
        <x:v>price_bgn</x:v>
      </x:c>
      <x:c r="L1" s="15" t="str">
        <x:v>promo_price_bgn</x:v>
      </x:c>
      <x:c r="M1" s="15" t="str">
        <x:v>stock_qty</x:v>
      </x:c>
      <x:c r="N1" s="15" t="str">
        <x:v>min_stock</x:v>
      </x:c>
      <x:c r="O1" s="15" t="str">
        <x:v>stock_status</x:v>
      </x:c>
      <x:c r="P1" s="15" t="str">
        <x:v>is_featured</x:v>
      </x:c>
      <x:c r="Q1" s="15" t="str">
        <x:v>is_active</x:v>
      </x:c>
      <x:c r="R1" s="15" t="str">
        <x:v>image_1</x:v>
      </x:c>
      <x:c r="S1" s="15" t="str">
        <x:v>image_2</x:v>
      </x:c>
      <x:c r="T1" s="15" t="str">
        <x:v>image_3</x:v>
      </x:c>
      <x:c r="U1" s="15" t="str">
        <x:v>spec_pdf</x:v>
      </x:c>
      <x:c r="V1" s="15" t="str">
        <x:v>seo_title</x:v>
      </x:c>
      <x:c r="W1" s="15" t="str">
        <x:v>seo_description</x:v>
      </x:c>
      <x:c r="X1" s="15" t="str">
        <x:v>slug</x:v>
      </x:c>
      <x:c r="Y1" s="15" t="str">
        <x:v>sort_order</x:v>
      </x:c>
    </x:row>
    <x:row r="2">
      <x:c r="A2" s="1" t="str">
        <x:v>PRD-001</x:v>
      </x:c>
      <x:c r="B2" s="1" t="str">
        <x:v>MRL-FNC-LAM-001</x:v>
      </x:c>
      <x:c r="C2" s="1" t="str">
        <x:v>ogradi</x:v>
      </x:c>
      <x:c r="D2" s="1" t="str">
        <x:v>lamelni-ogradi</x:v>
      </x:c>
      <x:c r="E2" s="1" t="str">
        <x:v>Ламелна ограда Premium 1200</x:v>
      </x:c>
      <x:c r="F2" s="1" t="str">
        <x:v>Модерен хоризонтален дизайн за повече уединение и завършен вид.</x:v>
      </x:c>
      <x:c r="G2" s="1" t="str">
        <x:v>Поцинкована стомана</x:v>
      </x:c>
      <x:c r="H2" s="1" t="str">
        <x:v>Антрацит</x:v>
      </x:c>
      <x:c r="I2" s="1" t="str">
        <x:v>1200 x 2000 mm</x:v>
      </x:c>
      <x:c r="J2" s="1" t="str">
        <x:v>бр.</x:v>
      </x:c>
      <x:c r="K2" s="17" t="n">
        <x:v>289</x:v>
      </x:c>
      <x:c r="L2" s="17" t="n">
        <x:v>0</x:v>
      </x:c>
      <x:c r="M2" s="1" t="n">
        <x:f>IFERROR(VLOOKUP(B2,Inventory!$A$2:$I$200,5,FALSE),0)</x:f>
        <x:v>16</x:v>
      </x:c>
      <x:c r="N2" s="1" t="n">
        <x:f>IFERROR(VLOOKUP(B2,Inventory!$A$2:$I$200,6,FALSE),0)</x:f>
        <x:v>4</x:v>
      </x:c>
      <x:c r="O2" s="1" t="str">
        <x:f>IF(M2&lt;=0,"Изчерпан",IF(M2&lt;=N2,"Ниска наличност","В наличност"))</x:f>
        <x:v>В наличност</x:v>
      </x:c>
      <x:c r="P2" s="1" t="str">
        <x:v>Да</x:v>
      </x:c>
      <x:c r="Q2" s="1" t="str">
        <x:v>Да</x:v>
      </x:c>
      <x:c r="R2" s="1" t="str">
        <x:v>assets/hero-slide-1.jpg</x:v>
      </x:c>
      <x:c r="S2" s="1" t="str">
        <x:v>assets/hero-slide-1.jpg</x:v>
      </x:c>
      <x:c r="T2" s="1" t="str"/>
      <x:c r="U2" s="1" t="str"/>
      <x:c r="V2" s="1" t="str">
        <x:v>Ламелна ограда Premium 1200 | Marletta</x:v>
      </x:c>
      <x:c r="W2" s="1" t="str">
        <x:v>Ламелна ограда с прахово боядисано покритие и модерен антрацитен завършек.</x:v>
      </x:c>
      <x:c r="X2" s="1" t="str">
        <x:f>LOWER(SUBSTITUTE(B2," ","-"))</x:f>
        <x:v>mrl-fnc-lam-001</x:v>
      </x:c>
      <x:c r="Y2" s="1" t="n">
        <x:v>1</x:v>
      </x:c>
    </x:row>
    <x:row r="3">
      <x:c r="A3" s="1" t="str">
        <x:v>PRD-002</x:v>
      </x:c>
      <x:c r="B3" s="1" t="str">
        <x:v>MRL-FNC-LAM-002</x:v>
      </x:c>
      <x:c r="C3" s="1" t="str">
        <x:v>ogradi</x:v>
      </x:c>
      <x:c r="D3" s="1" t="str">
        <x:v>lamelni-ogradi</x:v>
      </x:c>
      <x:c r="E3" s="1" t="str">
        <x:v>Ламелна ограда Premium 1800</x:v>
      </x:c>
      <x:c r="F3" s="1" t="str">
        <x:v>По-висок вариант за по-добра защита на личното пространство.</x:v>
      </x:c>
      <x:c r="G3" s="1" t="str">
        <x:v>Поцинкована стомана</x:v>
      </x:c>
      <x:c r="H3" s="1" t="str">
        <x:v>Черно</x:v>
      </x:c>
      <x:c r="I3" s="1" t="str">
        <x:v>1800 x 2000 mm</x:v>
      </x:c>
      <x:c r="J3" s="1" t="str">
        <x:v>бр.</x:v>
      </x:c>
      <x:c r="K3" s="17" t="n">
        <x:v>349</x:v>
      </x:c>
      <x:c r="L3" s="17" t="n">
        <x:v>0</x:v>
      </x:c>
      <x:c r="M3" s="1" t="n">
        <x:f>IFERROR(VLOOKUP(B3,Inventory!$A$2:$I$200,5,FALSE),0)</x:f>
        <x:v>6</x:v>
      </x:c>
      <x:c r="N3" s="1" t="n">
        <x:f>IFERROR(VLOOKUP(B3,Inventory!$A$2:$I$200,6,FALSE),0)</x:f>
        <x:v>3</x:v>
      </x:c>
      <x:c r="O3" s="1" t="str">
        <x:f>IF(M3&lt;=0,"Изчерпан",IF(M3&lt;=N3,"Ниска наличност","В наличност"))</x:f>
        <x:v>В наличност</x:v>
      </x:c>
      <x:c r="P3" s="1" t="str">
        <x:v>Да</x:v>
      </x:c>
      <x:c r="Q3" s="1" t="str">
        <x:v>Да</x:v>
      </x:c>
      <x:c r="R3" s="1" t="str">
        <x:v>assets/hero-slide-1.jpg</x:v>
      </x:c>
      <x:c r="S3" s="1" t="str"/>
      <x:c r="T3" s="1" t="str"/>
      <x:c r="U3" s="1" t="str"/>
      <x:c r="V3" s="1" t="str">
        <x:v>Ламелна ограда Premium 1800 | Marletta</x:v>
      </x:c>
      <x:c r="W3" s="1" t="str">
        <x:v>Ламелна ограда за жилищни и бизнес обекти.</x:v>
      </x:c>
      <x:c r="X3" s="1" t="str">
        <x:f>LOWER(SUBSTITUTE(B3," ","-"))</x:f>
        <x:v>mrl-fnc-lam-002</x:v>
      </x:c>
      <x:c r="Y3" s="1" t="n">
        <x:v>2</x:v>
      </x:c>
    </x:row>
    <x:row r="4">
      <x:c r="A4" s="1" t="str">
        <x:v>PRD-003</x:v>
      </x:c>
      <x:c r="B4" s="1" t="str">
        <x:v>MRL-SYS-PNL-001</x:v>
      </x:c>
      <x:c r="C4" s="1" t="str">
        <x:v>ogradni-sistemi</x:v>
      </x:c>
      <x:c r="D4" s="1" t="str">
        <x:v>ogradni-pana</x:v>
      </x:c>
      <x:c r="E4" s="1" t="str">
        <x:v>Оградно пано 3D 1730x2500</x:v>
      </x:c>
      <x:c r="F4" s="1" t="str">
        <x:v>Класическо 3D пано за сигурен и чист периметър.</x:v>
      </x:c>
      <x:c r="G4" s="1" t="str">
        <x:v>Стомана</x:v>
      </x:c>
      <x:c r="H4" s="1" t="str">
        <x:v>Зелено RAL 6005</x:v>
      </x:c>
      <x:c r="I4" s="1" t="str">
        <x:v>1730 x 2500 mm</x:v>
      </x:c>
      <x:c r="J4" s="1" t="str">
        <x:v>бр.</x:v>
      </x:c>
      <x:c r="K4" s="17" t="n">
        <x:v>58.5</x:v>
      </x:c>
      <x:c r="L4" s="17" t="n">
        <x:v>0</x:v>
      </x:c>
      <x:c r="M4" s="1" t="n">
        <x:f>IFERROR(VLOOKUP(B4,Inventory!$A$2:$I$200,5,FALSE),0)</x:f>
        <x:v>34</x:v>
      </x:c>
      <x:c r="N4" s="1" t="n">
        <x:f>IFERROR(VLOOKUP(B4,Inventory!$A$2:$I$200,6,FALSE),0)</x:f>
        <x:v>10</x:v>
      </x:c>
      <x:c r="O4" s="1" t="str">
        <x:f>IF(M4&lt;=0,"Изчерпан",IF(M4&lt;=N4,"Ниска наличност","В наличност"))</x:f>
        <x:v>В наличност</x:v>
      </x:c>
      <x:c r="P4" s="1" t="str">
        <x:v>Да</x:v>
      </x:c>
      <x:c r="Q4" s="1" t="str">
        <x:v>Да</x:v>
      </x:c>
      <x:c r="R4" s="1" t="str">
        <x:v>assets/cat-fences-main.jpg</x:v>
      </x:c>
      <x:c r="S4" s="1" t="str"/>
      <x:c r="T4" s="1" t="str"/>
      <x:c r="U4" s="1" t="str"/>
      <x:c r="V4" s="1" t="str">
        <x:v>Оградно пано 3D 1730x2500 | Marletta</x:v>
      </x:c>
      <x:c r="W4" s="1" t="str">
        <x:v>Поцинковано и прахово боядисано оградно пано за системен монтаж.</x:v>
      </x:c>
      <x:c r="X4" s="1" t="str">
        <x:f>LOWER(SUBSTITUTE(B4," ","-"))</x:f>
        <x:v>mrl-sys-pnl-001</x:v>
      </x:c>
      <x:c r="Y4" s="1" t="n">
        <x:v>3</x:v>
      </x:c>
    </x:row>
    <x:row r="5">
      <x:c r="A5" s="1" t="str">
        <x:v>PRD-004</x:v>
      </x:c>
      <x:c r="B5" s="1" t="str">
        <x:v>MRL-SYS-POST-001</x:v>
      </x:c>
      <x:c r="C5" s="1" t="str">
        <x:v>ogradni-sistemi</x:v>
      </x:c>
      <x:c r="D5" s="1" t="str">
        <x:v>kolove-i-aksesoari</x:v>
      </x:c>
      <x:c r="E5" s="1" t="str">
        <x:v>Ограден кол 60x40x2200</x:v>
      </x:c>
      <x:c r="F5" s="1" t="str">
        <x:v>Съвместим с 3D пана и различни системни решения.</x:v>
      </x:c>
      <x:c r="G5" s="1" t="str">
        <x:v>Поцинкована стомана</x:v>
      </x:c>
      <x:c r="H5" s="1" t="str">
        <x:v>Зелено RAL 6005</x:v>
      </x:c>
      <x:c r="I5" s="1" t="str">
        <x:v>60 x 40 x 2200 mm</x:v>
      </x:c>
      <x:c r="J5" s="1" t="str">
        <x:v>бр.</x:v>
      </x:c>
      <x:c r="K5" s="17" t="n">
        <x:v>24.9</x:v>
      </x:c>
      <x:c r="L5" s="17" t="n">
        <x:v>0</x:v>
      </x:c>
      <x:c r="M5" s="1" t="n">
        <x:f>IFERROR(VLOOKUP(B5,Inventory!$A$2:$I$200,5,FALSE),0)</x:f>
        <x:v>89</x:v>
      </x:c>
      <x:c r="N5" s="1" t="n">
        <x:f>IFERROR(VLOOKUP(B5,Inventory!$A$2:$I$200,6,FALSE),0)</x:f>
        <x:v>20</x:v>
      </x:c>
      <x:c r="O5" s="1" t="str">
        <x:f>IF(M5&lt;=0,"Изчерпан",IF(M5&lt;=N5,"Ниска наличност","В наличност"))</x:f>
        <x:v>В наличност</x:v>
      </x:c>
      <x:c r="P5" s="1" t="str">
        <x:v>Не</x:v>
      </x:c>
      <x:c r="Q5" s="1" t="str">
        <x:v>Да</x:v>
      </x:c>
      <x:c r="R5" s="1" t="str">
        <x:v>assets/cat-systems.jpg</x:v>
      </x:c>
      <x:c r="S5" s="1" t="str"/>
      <x:c r="T5" s="1" t="str"/>
      <x:c r="U5" s="1" t="str"/>
      <x:c r="V5" s="1" t="str">
        <x:v>Ограден кол 60x40x2200 | Marletta</x:v>
      </x:c>
      <x:c r="W5" s="1" t="str">
        <x:v>Системен кол за монтаж на панели и мрежи.</x:v>
      </x:c>
      <x:c r="X5" s="1" t="str">
        <x:f>LOWER(SUBSTITUTE(B5," ","-"))</x:f>
        <x:v>mrl-sys-post-001</x:v>
      </x:c>
      <x:c r="Y5" s="1" t="n">
        <x:v>4</x:v>
      </x:c>
    </x:row>
    <x:row r="6">
      <x:c r="A6" s="1" t="str">
        <x:v>PRD-005</x:v>
      </x:c>
      <x:c r="B6" s="1" t="str">
        <x:v>MRL-SYS-MSH-001</x:v>
      </x:c>
      <x:c r="C6" s="1" t="str">
        <x:v>ogradni-sistemi</x:v>
      </x:c>
      <x:c r="D6" s="1" t="str">
        <x:v>ogradni-mrezhi</x:v>
      </x:c>
      <x:c r="E6" s="1" t="str">
        <x:v>Поцинкована оградна мрежа 1.50m</x:v>
      </x:c>
      <x:c r="F6" s="1" t="str">
        <x:v>Икономично решение за земеделски, дворни и индустриални терени.</x:v>
      </x:c>
      <x:c r="G6" s="1" t="str">
        <x:v>Стомана</x:v>
      </x:c>
      <x:c r="H6" s="1" t="str">
        <x:v>Поцинковано</x:v>
      </x:c>
      <x:c r="I6" s="1" t="str">
        <x:v>1.50 x 25 m</x:v>
      </x:c>
      <x:c r="J6" s="1" t="str">
        <x:v>ролка</x:v>
      </x:c>
      <x:c r="K6" s="17" t="n">
        <x:v>96</x:v>
      </x:c>
      <x:c r="L6" s="17" t="n">
        <x:v>0</x:v>
      </x:c>
      <x:c r="M6" s="1" t="n">
        <x:f>IFERROR(VLOOKUP(B6,Inventory!$A$2:$I$200,5,FALSE),0)</x:f>
        <x:v>21</x:v>
      </x:c>
      <x:c r="N6" s="1" t="n">
        <x:f>IFERROR(VLOOKUP(B6,Inventory!$A$2:$I$200,6,FALSE),0)</x:f>
        <x:v>8</x:v>
      </x:c>
      <x:c r="O6" s="1" t="str">
        <x:f>IF(M6&lt;=0,"Изчерпан",IF(M6&lt;=N6,"Ниска наличност","В наличност"))</x:f>
        <x:v>В наличност</x:v>
      </x:c>
      <x:c r="P6" s="1" t="str">
        <x:v>Не</x:v>
      </x:c>
      <x:c r="Q6" s="1" t="str">
        <x:v>Да</x:v>
      </x:c>
      <x:c r="R6" s="1" t="str">
        <x:v>assets/cat-fences-alt.jpg</x:v>
      </x:c>
      <x:c r="S6" s="1" t="str"/>
      <x:c r="T6" s="1" t="str"/>
      <x:c r="U6" s="1" t="str"/>
      <x:c r="V6" s="1" t="str">
        <x:v>Поцинкована оградна мрежа 1.50m | Marletta</x:v>
      </x:c>
      <x:c r="W6" s="1" t="str">
        <x:v>Оградна мрежа на ролка за бърз и практичен монтаж.</x:v>
      </x:c>
      <x:c r="X6" s="1" t="str">
        <x:f>LOWER(SUBSTITUTE(B6," ","-"))</x:f>
        <x:v>mrl-sys-msh-001</x:v>
      </x:c>
      <x:c r="Y6" s="1" t="n">
        <x:v>5</x:v>
      </x:c>
    </x:row>
    <x:row r="7">
      <x:c r="A7" s="1" t="str">
        <x:v>PRD-006</x:v>
      </x:c>
      <x:c r="B7" s="1" t="str">
        <x:v>MRL-SYS-GATE-001</x:v>
      </x:c>
      <x:c r="C7" s="1" t="str">
        <x:v>ogradni-sistemi</x:v>
      </x:c>
      <x:c r="D7" s="1" t="str">
        <x:v>portalni-sistemi</x:v>
      </x:c>
      <x:c r="E7" s="1" t="str">
        <x:v>Плъзгаща портална система 4m</x:v>
      </x:c>
      <x:c r="F7" s="1" t="str">
        <x:v>Комплект за надеждно и плавно отваряне на портал.</x:v>
      </x:c>
      <x:c r="G7" s="1" t="str">
        <x:v>Стомана</x:v>
      </x:c>
      <x:c r="H7" s="1" t="str">
        <x:v>Антрацит</x:v>
      </x:c>
      <x:c r="I7" s="1" t="str">
        <x:v>4 m</x:v>
      </x:c>
      <x:c r="J7" s="1" t="str">
        <x:v>комплект</x:v>
      </x:c>
      <x:c r="K7" s="17" t="n">
        <x:v>649</x:v>
      </x:c>
      <x:c r="L7" s="17" t="n">
        <x:v>0</x:v>
      </x:c>
      <x:c r="M7" s="1" t="n">
        <x:f>IFERROR(VLOOKUP(B7,Inventory!$A$2:$I$200,5,FALSE),0)</x:f>
        <x:v>2</x:v>
      </x:c>
      <x:c r="N7" s="1" t="n">
        <x:f>IFERROR(VLOOKUP(B7,Inventory!$A$2:$I$200,6,FALSE),0)</x:f>
        <x:v>2</x:v>
      </x:c>
      <x:c r="O7" s="1" t="str">
        <x:f>IF(M7&lt;=0,"Изчерпан",IF(M7&lt;=N7,"Ниска наличност","В наличност"))</x:f>
        <x:v>Ниска наличност</x:v>
      </x:c>
      <x:c r="P7" s="1" t="str">
        <x:v>Да</x:v>
      </x:c>
      <x:c r="Q7" s="1" t="str">
        <x:v>Да</x:v>
      </x:c>
      <x:c r="R7" s="1" t="str">
        <x:v>assets/cat-systems.jpg</x:v>
      </x:c>
      <x:c r="S7" s="1" t="str"/>
      <x:c r="T7" s="1" t="str"/>
      <x:c r="U7" s="1" t="str"/>
      <x:c r="V7" s="1" t="str">
        <x:v>Плъзгаща портална система 4m | Marletta</x:v>
      </x:c>
      <x:c r="W7" s="1" t="str">
        <x:v>Комплект за плъзгаща врата за частни и индустриални обекти.</x:v>
      </x:c>
      <x:c r="X7" s="1" t="str">
        <x:f>LOWER(SUBSTITUTE(B7," ","-"))</x:f>
        <x:v>mrl-sys-gate-001</x:v>
      </x:c>
      <x:c r="Y7" s="1" t="n">
        <x:v>6</x:v>
      </x:c>
    </x:row>
    <x:row r="8">
      <x:c r="A8" s="1" t="str">
        <x:v>PRD-007</x:v>
      </x:c>
      <x:c r="B8" s="1" t="str">
        <x:v>MRL-DR-INT-001</x:v>
      </x:c>
      <x:c r="C8" s="1" t="str">
        <x:v>vrati</x:v>
      </x:c>
      <x:c r="D8" s="1" t="str">
        <x:v>interiorni-vrati</x:v>
      </x:c>
      <x:c r="E8" s="1" t="str">
        <x:v>Интериорна врата Elegance White</x:v>
      </x:c>
      <x:c r="F8" s="1" t="str">
        <x:v>Изчистен модел за апартаменти, офиси и хотелски помещения.</x:v>
      </x:c>
      <x:c r="G8" s="1" t="str">
        <x:v>MDF / HDF</x:v>
      </x:c>
      <x:c r="H8" s="1" t="str">
        <x:v>Бяло</x:v>
      </x:c>
      <x:c r="I8" s="1" t="str">
        <x:v>80/200 cm</x:v>
      </x:c>
      <x:c r="J8" s="1" t="str">
        <x:v>бр.</x:v>
      </x:c>
      <x:c r="K8" s="17" t="n">
        <x:v>399</x:v>
      </x:c>
      <x:c r="L8" s="17" t="n">
        <x:v>0</x:v>
      </x:c>
      <x:c r="M8" s="1" t="n">
        <x:f>IFERROR(VLOOKUP(B8,Inventory!$A$2:$I$200,5,FALSE),0)</x:f>
        <x:v>12</x:v>
      </x:c>
      <x:c r="N8" s="1" t="n">
        <x:f>IFERROR(VLOOKUP(B8,Inventory!$A$2:$I$200,6,FALSE),0)</x:f>
        <x:v>4</x:v>
      </x:c>
      <x:c r="O8" s="1" t="str">
        <x:f>IF(M8&lt;=0,"Изчерпан",IF(M8&lt;=N8,"Ниска наличност","В наличност"))</x:f>
        <x:v>В наличност</x:v>
      </x:c>
      <x:c r="P8" s="1" t="str">
        <x:v>Да</x:v>
      </x:c>
      <x:c r="Q8" s="1" t="str">
        <x:v>Да</x:v>
      </x:c>
      <x:c r="R8" s="1" t="str">
        <x:v>assets/cat-doors.jpg</x:v>
      </x:c>
      <x:c r="S8" s="1" t="str"/>
      <x:c r="T8" s="1" t="str"/>
      <x:c r="U8" s="1" t="str"/>
      <x:c r="V8" s="1" t="str">
        <x:v>Интериорна врата Elegance White | Marletta</x:v>
      </x:c>
      <x:c r="W8" s="1" t="str">
        <x:v>Интериорна врата с модерна визия и лесна поддръжка.</x:v>
      </x:c>
      <x:c r="X8" s="1" t="str">
        <x:f>LOWER(SUBSTITUTE(B8," ","-"))</x:f>
        <x:v>mrl-dr-int-001</x:v>
      </x:c>
      <x:c r="Y8" s="1" t="n">
        <x:v>7</x:v>
      </x:c>
    </x:row>
    <x:row r="9">
      <x:c r="A9" s="1" t="str">
        <x:v>PRD-008</x:v>
      </x:c>
      <x:c r="B9" s="1" t="str">
        <x:v>MRL-DR-SEC-001</x:v>
      </x:c>
      <x:c r="C9" s="1" t="str">
        <x:v>vrati</x:v>
      </x:c>
      <x:c r="D9" s="1" t="str">
        <x:v>blindirani-vrati</x:v>
      </x:c>
      <x:c r="E9" s="1" t="str">
        <x:v>Блиндирана врата Secure 90</x:v>
      </x:c>
      <x:c r="F9" s="1" t="str">
        <x:v>Подсилена конструкция за входове на апартаменти и офиси.</x:v>
      </x:c>
      <x:c r="G9" s="1" t="str">
        <x:v>Стомана / MDF</x:v>
      </x:c>
      <x:c r="H9" s="1" t="str">
        <x:v>Тъмен дъб</x:v>
      </x:c>
      <x:c r="I9" s="1" t="str">
        <x:v>90/200 cm</x:v>
      </x:c>
      <x:c r="J9" s="1" t="str">
        <x:v>бр.</x:v>
      </x:c>
      <x:c r="K9" s="17" t="n">
        <x:v>1189</x:v>
      </x:c>
      <x:c r="L9" s="17" t="n">
        <x:v>1049</x:v>
      </x:c>
      <x:c r="M9" s="1" t="n">
        <x:f>IFERROR(VLOOKUP(B9,Inventory!$A$2:$I$200,5,FALSE),0)</x:f>
        <x:v>3</x:v>
      </x:c>
      <x:c r="N9" s="1" t="n">
        <x:f>IFERROR(VLOOKUP(B9,Inventory!$A$2:$I$200,6,FALSE),0)</x:f>
        <x:v>2</x:v>
      </x:c>
      <x:c r="O9" s="1" t="str">
        <x:f>IF(M9&lt;=0,"Изчерпан",IF(M9&lt;=N9,"Ниска наличност","В наличност"))</x:f>
        <x:v>В наличност</x:v>
      </x:c>
      <x:c r="P9" s="1" t="str">
        <x:v>Да</x:v>
      </x:c>
      <x:c r="Q9" s="1" t="str">
        <x:v>Да</x:v>
      </x:c>
      <x:c r="R9" s="1" t="str">
        <x:v>assets/cat-doors.jpg</x:v>
      </x:c>
      <x:c r="S9" s="1" t="str"/>
      <x:c r="T9" s="1" t="str"/>
      <x:c r="U9" s="1" t="str"/>
      <x:c r="V9" s="1" t="str">
        <x:v>Блиндирана врата Secure 90 | Marletta</x:v>
      </x:c>
      <x:c r="W9" s="1" t="str">
        <x:v>Сигурна входна врата с добра изолация и завършен външен вид.</x:v>
      </x:c>
      <x:c r="X9" s="1" t="str">
        <x:f>LOWER(SUBSTITUTE(B9," ","-"))</x:f>
        <x:v>mrl-dr-sec-001</x:v>
      </x:c>
      <x:c r="Y9" s="1" t="n">
        <x:v>8</x:v>
      </x:c>
    </x:row>
    <x:row r="10">
      <x:c r="A10" s="1" t="str">
        <x:v>PRD-009</x:v>
      </x:c>
      <x:c r="B10" s="1" t="str">
        <x:v>MRL-TIL-GR-001</x:v>
      </x:c>
      <x:c r="C10" s="1" t="str">
        <x:v>plochki</x:v>
      </x:c>
      <x:c r="D10" s="1" t="str">
        <x:v>granitogres</x:v>
      </x:c>
      <x:c r="E10" s="1" t="str">
        <x:v>Гранитогрес Stone Grey 60x60</x:v>
      </x:c>
      <x:c r="F10" s="1" t="str">
        <x:v>Подходящ за интериорни и по-натоварени зони.</x:v>
      </x:c>
      <x:c r="G10" s="1" t="str">
        <x:v>Гранитогрес</x:v>
      </x:c>
      <x:c r="H10" s="1" t="str">
        <x:v>Stone Grey</x:v>
      </x:c>
      <x:c r="I10" s="1" t="str">
        <x:v>60 x 60 cm</x:v>
      </x:c>
      <x:c r="J10" s="1" t="str">
        <x:v>м²</x:v>
      </x:c>
      <x:c r="K10" s="17" t="n">
        <x:v>42.9</x:v>
      </x:c>
      <x:c r="L10" s="17" t="n">
        <x:v>0</x:v>
      </x:c>
      <x:c r="M10" s="1" t="n">
        <x:f>IFERROR(VLOOKUP(B10,Inventory!$A$2:$I$200,5,FALSE),0)</x:f>
        <x:v>108</x:v>
      </x:c>
      <x:c r="N10" s="1" t="n">
        <x:f>IFERROR(VLOOKUP(B10,Inventory!$A$2:$I$200,6,FALSE),0)</x:f>
        <x:v>40</x:v>
      </x:c>
      <x:c r="O10" s="1" t="str">
        <x:f>IF(M10&lt;=0,"Изчерпан",IF(M10&lt;=N10,"Ниска наличност","В наличност"))</x:f>
        <x:v>В наличност</x:v>
      </x:c>
      <x:c r="P10" s="1" t="str">
        <x:v>Да</x:v>
      </x:c>
      <x:c r="Q10" s="1" t="str">
        <x:v>Да</x:v>
      </x:c>
      <x:c r="R10" s="1" t="str">
        <x:v>assets/cat-tiles.jpg</x:v>
      </x:c>
      <x:c r="S10" s="1" t="str"/>
      <x:c r="T10" s="1" t="str"/>
      <x:c r="U10" s="1" t="str"/>
      <x:c r="V10" s="1" t="str">
        <x:v>Гранитогрес Stone Grey 60x60 | Marletta</x:v>
      </x:c>
      <x:c r="W10" s="1" t="str">
        <x:v>Гранитогрес за подове и стени с каменен ефект.</x:v>
      </x:c>
      <x:c r="X10" s="1" t="str">
        <x:f>LOWER(SUBSTITUTE(B10," ","-"))</x:f>
        <x:v>mrl-til-gr-001</x:v>
      </x:c>
      <x:c r="Y10" s="1" t="n">
        <x:v>9</x:v>
      </x:c>
    </x:row>
    <x:row r="11">
      <x:c r="A11" s="1" t="str">
        <x:v>PRD-010</x:v>
      </x:c>
      <x:c r="B11" s="1" t="str">
        <x:v>MRL-TIL-OUT-001</x:v>
      </x:c>
      <x:c r="C11" s="1" t="str">
        <x:v>plochki</x:v>
      </x:c>
      <x:c r="D11" s="1" t="str">
        <x:v>vunshni-plochki</x:v>
      </x:c>
      <x:c r="E11" s="1" t="str">
        <x:v>Външни плочки Nordic 30x60</x:v>
      </x:c>
      <x:c r="F11" s="1" t="str">
        <x:v>Мразоустойчиво решение за тераси и външни площи.</x:v>
      </x:c>
      <x:c r="G11" s="1" t="str">
        <x:v>Керамика</x:v>
      </x:c>
      <x:c r="H11" s="1" t="str">
        <x:v>Сив</x:v>
      </x:c>
      <x:c r="I11" s="1" t="str">
        <x:v>30 x 60 cm</x:v>
      </x:c>
      <x:c r="J11" s="1" t="str">
        <x:v>м²</x:v>
      </x:c>
      <x:c r="K11" s="17" t="n">
        <x:v>48.5</x:v>
      </x:c>
      <x:c r="L11" s="17" t="n">
        <x:v>0</x:v>
      </x:c>
      <x:c r="M11" s="1" t="n">
        <x:f>IFERROR(VLOOKUP(B11,Inventory!$A$2:$I$200,5,FALSE),0)</x:f>
        <x:v>0</x:v>
      </x:c>
      <x:c r="N11" s="1" t="n">
        <x:f>IFERROR(VLOOKUP(B11,Inventory!$A$2:$I$200,6,FALSE),0)</x:f>
        <x:v>25</x:v>
      </x:c>
      <x:c r="O11" s="1" t="str">
        <x:f>IF(M11&lt;=0,"Изчерпан",IF(M11&lt;=N11,"Ниска наличност","В наличност"))</x:f>
        <x:v>Изчерпан</x:v>
      </x:c>
      <x:c r="P11" s="1" t="str">
        <x:v>Не</x:v>
      </x:c>
      <x:c r="Q11" s="1" t="str">
        <x:v>Да</x:v>
      </x:c>
      <x:c r="R11" s="1" t="str">
        <x:v>assets/cat-tiles.jpg</x:v>
      </x:c>
      <x:c r="S11" s="1" t="str"/>
      <x:c r="T11" s="1" t="str"/>
      <x:c r="U11" s="1" t="str"/>
      <x:c r="V11" s="1" t="str">
        <x:v>Външни плочки Nordic 30x60 | Marletta</x:v>
      </x:c>
      <x:c r="W11" s="1" t="str">
        <x:v>Външни плочки с противоплъзгаща повърхност.</x:v>
      </x:c>
      <x:c r="X11" s="1" t="str">
        <x:f>LOWER(SUBSTITUTE(B11," ","-"))</x:f>
        <x:v>mrl-til-out-001</x:v>
      </x:c>
      <x:c r="Y11" s="1" t="n">
        <x:v>10</x:v>
      </x:c>
    </x:row>
    <x:row r="12">
      <x:c r="A12" s="1" t="str">
        <x:v>PRD-011</x:v>
      </x:c>
      <x:c r="B12" s="1" t="str">
        <x:v>MRL-GRN-STEP-001</x:v>
      </x:c>
      <x:c r="C12" s="1" t="str">
        <x:v>granit</x:v>
      </x:c>
      <x:c r="D12" s="1" t="str">
        <x:v>granitni-stupala</x:v>
      </x:c>
      <x:c r="E12" s="1" t="str">
        <x:v>Гранитно стъпало G603 150x33</x:v>
      </x:c>
      <x:c r="F12" s="1" t="str">
        <x:v>Практичен избор за външни стълби и обществени зони.</x:v>
      </x:c>
      <x:c r="G12" s="1" t="str">
        <x:v>Гранит G603</x:v>
      </x:c>
      <x:c r="H12" s="1" t="str">
        <x:v>Светлосиво</x:v>
      </x:c>
      <x:c r="I12" s="1" t="str">
        <x:v>150 x 33 x 2 cm</x:v>
      </x:c>
      <x:c r="J12" s="1" t="str">
        <x:v>бр.</x:v>
      </x:c>
      <x:c r="K12" s="17" t="n">
        <x:v>78</x:v>
      </x:c>
      <x:c r="L12" s="17" t="n">
        <x:v>0</x:v>
      </x:c>
      <x:c r="M12" s="1" t="n">
        <x:f>IFERROR(VLOOKUP(B12,Inventory!$A$2:$I$200,5,FALSE),0)</x:f>
        <x:v>18</x:v>
      </x:c>
      <x:c r="N12" s="1" t="n">
        <x:f>IFERROR(VLOOKUP(B12,Inventory!$A$2:$I$200,6,FALSE),0)</x:f>
        <x:v>6</x:v>
      </x:c>
      <x:c r="O12" s="1" t="str">
        <x:f>IF(M12&lt;=0,"Изчерпан",IF(M12&lt;=N12,"Ниска наличност","В наличност"))</x:f>
        <x:v>В наличност</x:v>
      </x:c>
      <x:c r="P12" s="1" t="str">
        <x:v>Не</x:v>
      </x:c>
      <x:c r="Q12" s="1" t="str">
        <x:v>Да</x:v>
      </x:c>
      <x:c r="R12" s="1" t="str">
        <x:v>assets/cat-granite.jpg</x:v>
      </x:c>
      <x:c r="S12" s="1" t="str"/>
      <x:c r="T12" s="1" t="str"/>
      <x:c r="U12" s="1" t="str"/>
      <x:c r="V12" s="1" t="str">
        <x:v>Гранитно стъпало G603 150x33 | Marletta</x:v>
      </x:c>
      <x:c r="W12" s="1" t="str">
        <x:v>Гранитно стъпало за натоварени и външни пространства.</x:v>
      </x:c>
      <x:c r="X12" s="1" t="str">
        <x:f>LOWER(SUBSTITUTE(B12," ","-"))</x:f>
        <x:v>mrl-grn-step-001</x:v>
      </x:c>
      <x:c r="Y12" s="1" t="n">
        <x:v>11</x:v>
      </x:c>
    </x:row>
    <x:row r="13">
      <x:c r="A13" s="1" t="str">
        <x:v>PRD-012</x:v>
      </x:c>
      <x:c r="B13" s="1" t="str">
        <x:v>MRL-STN-CLD-001</x:v>
      </x:c>
      <x:c r="C13" s="1" t="str">
        <x:v>kamak</x:v>
      </x:c>
      <x:c r="D13" s="1" t="str">
        <x:v>oblicovuchen-kamuk</x:v>
      </x:c>
      <x:c r="E13" s="1" t="str">
        <x:v>Облицовъчен камък Rustica Mix</x:v>
      </x:c>
      <x:c r="F13" s="1" t="str">
        <x:v>Естествена визия за фасади, огради и декоративни стени.</x:v>
      </x:c>
      <x:c r="G13" s="1" t="str">
        <x:v>Естествен камък</x:v>
      </x:c>
      <x:c r="H13" s="1" t="str">
        <x:v>Микс</x:v>
      </x:c>
      <x:c r="I13" s="1" t="str">
        <x:v>Free length</x:v>
      </x:c>
      <x:c r="J13" s="1" t="str">
        <x:v>м²</x:v>
      </x:c>
      <x:c r="K13" s="17" t="n">
        <x:v>69</x:v>
      </x:c>
      <x:c r="L13" s="17" t="n">
        <x:v>0</x:v>
      </x:c>
      <x:c r="M13" s="1" t="n">
        <x:f>IFERROR(VLOOKUP(B13,Inventory!$A$2:$I$200,5,FALSE),0)</x:f>
        <x:v>51</x:v>
      </x:c>
      <x:c r="N13" s="1" t="n">
        <x:f>IFERROR(VLOOKUP(B13,Inventory!$A$2:$I$200,6,FALSE),0)</x:f>
        <x:v>15</x:v>
      </x:c>
      <x:c r="O13" s="1" t="str">
        <x:f>IF(M13&lt;=0,"Изчерпан",IF(M13&lt;=N13,"Ниска наличност","В наличност"))</x:f>
        <x:v>В наличност</x:v>
      </x:c>
      <x:c r="P13" s="1" t="str">
        <x:v>Да</x:v>
      </x:c>
      <x:c r="Q13" s="1" t="str">
        <x:v>Да</x:v>
      </x:c>
      <x:c r="R13" s="1" t="str">
        <x:v>assets/cat-stone.jpg</x:v>
      </x:c>
      <x:c r="S13" s="1" t="str"/>
      <x:c r="T13" s="1" t="str"/>
      <x:c r="U13" s="1" t="str"/>
      <x:c r="V13" s="1" t="str">
        <x:v>Облицовъчен камък Rustica Mix | Marletta</x:v>
      </x:c>
      <x:c r="W13" s="1" t="str">
        <x:v>Камък за фасадни и екстериорни облицовки.</x:v>
      </x:c>
      <x:c r="X13" s="1" t="str">
        <x:f>LOWER(SUBSTITUTE(B13," ","-"))</x:f>
        <x:v>mrl-stn-cld-001</x:v>
      </x:c>
      <x:c r="Y13" s="1" t="n">
        <x:v>12</x:v>
      </x:c>
    </x:row>
    <x:row r="14">
      <x:c r="A14" s="1" t="str">
        <x:v>PRD-013</x:v>
      </x:c>
      <x:c r="B14" s="1" t="str">
        <x:v>MRL-BLD-MIX-001</x:v>
      </x:c>
      <x:c r="C14" s="1" t="str">
        <x:v>stroitelni-materiali</x:v>
      </x:c>
      <x:c r="D14" s="1" t="str">
        <x:v>suhi-smesi</x:v>
      </x:c>
      <x:c r="E14" s="1" t="str">
        <x:v>Лепило Flex C2TE 25kg</x:v>
      </x:c>
      <x:c r="F14" s="1" t="str">
        <x:v>За плочки, гранитогрес и външни приложения.</x:v>
      </x:c>
      <x:c r="G14" s="1" t="str">
        <x:v>Суха смес</x:v>
      </x:c>
      <x:c r="H14" s="1" t="str">
        <x:v>Сиво</x:v>
      </x:c>
      <x:c r="I14" s="1" t="str">
        <x:v>25 kg</x:v>
      </x:c>
      <x:c r="J14" s="1" t="str">
        <x:v>торба</x:v>
      </x:c>
      <x:c r="K14" s="17" t="n">
        <x:v>18.9</x:v>
      </x:c>
      <x:c r="L14" s="17" t="n">
        <x:v>0</x:v>
      </x:c>
      <x:c r="M14" s="1" t="n">
        <x:f>IFERROR(VLOOKUP(B14,Inventory!$A$2:$I$200,5,FALSE),0)</x:f>
        <x:v>73</x:v>
      </x:c>
      <x:c r="N14" s="1" t="n">
        <x:f>IFERROR(VLOOKUP(B14,Inventory!$A$2:$I$200,6,FALSE),0)</x:f>
        <x:v>20</x:v>
      </x:c>
      <x:c r="O14" s="1" t="str">
        <x:f>IF(M14&lt;=0,"Изчерпан",IF(M14&lt;=N14,"Ниска наличност","В наличност"))</x:f>
        <x:v>В наличност</x:v>
      </x:c>
      <x:c r="P14" s="1" t="str">
        <x:v>Не</x:v>
      </x:c>
      <x:c r="Q14" s="1" t="str">
        <x:v>Да</x:v>
      </x:c>
      <x:c r="R14" s="1" t="str">
        <x:v>assets/cat-materials.jpg</x:v>
      </x:c>
      <x:c r="S14" s="1" t="str"/>
      <x:c r="T14" s="1" t="str"/>
      <x:c r="U14" s="1" t="str"/>
      <x:c r="V14" s="1" t="str">
        <x:v>Лепило Flex C2TE 25kg | Marletta</x:v>
      </x:c>
      <x:c r="W14" s="1" t="str">
        <x:v>Лепило за плочки с добра еластичност и сцепление.</x:v>
      </x:c>
      <x:c r="X14" s="1" t="str">
        <x:f>LOWER(SUBSTITUTE(B14," ","-"))</x:f>
        <x:v>mrl-bld-mix-001</x:v>
      </x:c>
      <x:c r="Y14" s="1" t="n">
        <x:v>13</x:v>
      </x:c>
    </x:row>
    <x:row r="15">
      <x:c r="A15" s="1" t="str">
        <x:v>PRD-014</x:v>
      </x:c>
      <x:c r="B15" s="1" t="str">
        <x:v>MRL-BLD-INS-001</x:v>
      </x:c>
      <x:c r="C15" s="1" t="str">
        <x:v>stroitelni-materiali</x:v>
      </x:c>
      <x:c r="D15" s="1" t="str">
        <x:v>izolacii</x:v>
      </x:c>
      <x:c r="E15" s="1" t="str">
        <x:v>XPS изолация 5cm</x:v>
      </x:c>
      <x:c r="F15" s="1" t="str">
        <x:v>Твърда плоча за подове, основи и външни зони.</x:v>
      </x:c>
      <x:c r="G15" s="1" t="str">
        <x:v>XPS</x:v>
      </x:c>
      <x:c r="H15" s="1" t="str">
        <x:v>Син</x:v>
      </x:c>
      <x:c r="I15" s="1" t="str">
        <x:v>1250 x 600 x 50 mm</x:v>
      </x:c>
      <x:c r="J15" s="1" t="str">
        <x:v>бр.</x:v>
      </x:c>
      <x:c r="K15" s="17" t="n">
        <x:v>10.8</x:v>
      </x:c>
      <x:c r="L15" s="17" t="n">
        <x:v>0</x:v>
      </x:c>
      <x:c r="M15" s="1" t="n">
        <x:f>IFERROR(VLOOKUP(B15,Inventory!$A$2:$I$200,5,FALSE),0)</x:f>
        <x:v>30</x:v>
      </x:c>
      <x:c r="N15" s="1" t="n">
        <x:f>IFERROR(VLOOKUP(B15,Inventory!$A$2:$I$200,6,FALSE),0)</x:f>
        <x:v>12</x:v>
      </x:c>
      <x:c r="O15" s="1" t="str">
        <x:f>IF(M15&lt;=0,"Изчерпан",IF(M15&lt;=N15,"Ниска наличност","В наличност"))</x:f>
        <x:v>В наличност</x:v>
      </x:c>
      <x:c r="P15" s="1" t="str">
        <x:v>Не</x:v>
      </x:c>
      <x:c r="Q15" s="1" t="str">
        <x:v>Да</x:v>
      </x:c>
      <x:c r="R15" s="1" t="str">
        <x:v>assets/cat-materials.jpg</x:v>
      </x:c>
      <x:c r="S15" s="1" t="str"/>
      <x:c r="T15" s="1" t="str"/>
      <x:c r="U15" s="1" t="str"/>
      <x:c r="V15" s="1" t="str">
        <x:v>XPS изолация 5cm | Marletta</x:v>
      </x:c>
      <x:c r="W15" s="1" t="str">
        <x:v>XPS плочи за топлоизолация и висока устойчивост на влага.</x:v>
      </x:c>
      <x:c r="X15" s="1" t="str">
        <x:f>LOWER(SUBSTITUTE(B15," ","-"))</x:f>
        <x:v>mrl-bld-ins-001</x:v>
      </x:c>
      <x:c r="Y15" s="1" t="n">
        <x:v>14</x:v>
      </x:c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</x:row>
  </x:sheetData>
  <x:conditionalFormatting sqref="O2:O300">
    <x:cfRule type="expression" dxfId="0" priority="1">
      <x:formula>$O2="Изчерпан"</x:formula>
    </x:cfRule>
    <x:cfRule type="expression" dxfId="1" priority="2">
      <x:formula>$O2="Ниска наличност"</x:formula>
    </x:cfRule>
    <x:cfRule type="expression" dxfId="2" priority="3">
      <x:formula>$O2="В наличност"</x:formula>
    </x:cfRule>
  </x:conditionalFormatting>
  <x:dataValidations count="4">
    <x:dataValidation type="list" sqref="C2:C300">
      <x:formula1>Categories!$D$2:$D$50</x:formula1>
    </x:dataValidation>
    <x:dataValidation type="list" sqref="D2:D300">
      <x:formula1>Categories!$D$2:$D$50</x:formula1>
    </x:dataValidation>
    <x:dataValidation type="list" sqref="J2:J300">
      <x:formula1>Lists!$B$2:$B$7</x:formula1>
    </x:dataValidation>
    <x:dataValidation type="list" sqref="P2:Q300">
      <x:formula1>Lists!$A$2:$A$3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1f2cad5f844d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4" hidden="0" customWidth="1"/>
    <x:col min="6" max="6" width="14" hidden="0" customWidth="1"/>
    <x:col min="7" max="7" width="10" hidden="0" customWidth="1"/>
  </x:cols>
  <x:sheetData>
    <x:row r="1">
      <x:c r="A1" s="15" t="str">
        <x:v>attribute_id</x:v>
      </x:c>
      <x:c r="B1" s="15" t="str">
        <x:v>sku</x:v>
      </x:c>
      <x:c r="C1" s="15" t="str">
        <x:v>attribute_group</x:v>
      </x:c>
      <x:c r="D1" s="15" t="str">
        <x:v>attribute_name_bg</x:v>
      </x:c>
      <x:c r="E1" s="15" t="str">
        <x:v>attribute_value_bg</x:v>
      </x:c>
      <x:c r="F1" s="15" t="str">
        <x:v>is_filterable</x:v>
      </x:c>
      <x:c r="G1" s="15" t="str">
        <x:v>sort_order</x:v>
      </x:c>
    </x:row>
    <x:row r="2">
      <x:c r="A2" s="1" t="str">
        <x:v>ATT-001</x:v>
      </x:c>
      <x:c r="B2" s="1" t="str">
        <x:v>MRL-FNC-LAM-001</x:v>
      </x:c>
      <x:c r="C2" s="1" t="str">
        <x:v>Размер</x:v>
      </x:c>
      <x:c r="D2" s="1" t="str">
        <x:v>Височина</x:v>
      </x:c>
      <x:c r="E2" s="1" t="str">
        <x:v>1200 mm</x:v>
      </x:c>
      <x:c r="F2" s="1" t="str">
        <x:v>Да</x:v>
      </x:c>
      <x:c r="G2" s="1" t="n">
        <x:v>1</x:v>
      </x:c>
    </x:row>
    <x:row r="3">
      <x:c r="A3" s="1" t="str">
        <x:v>ATT-002</x:v>
      </x:c>
      <x:c r="B3" s="1" t="str">
        <x:v>MRL-FNC-LAM-001</x:v>
      </x:c>
      <x:c r="C3" s="1" t="str">
        <x:v>Материал</x:v>
      </x:c>
      <x:c r="D3" s="1" t="str">
        <x:v>Покритие</x:v>
      </x:c>
      <x:c r="E3" s="1" t="str">
        <x:v>Прахово боядисано</x:v>
      </x:c>
      <x:c r="F3" s="1" t="str">
        <x:v>Да</x:v>
      </x:c>
      <x:c r="G3" s="1" t="n">
        <x:v>2</x:v>
      </x:c>
    </x:row>
    <x:row r="4">
      <x:c r="A4" s="1" t="str">
        <x:v>ATT-003</x:v>
      </x:c>
      <x:c r="B4" s="1" t="str">
        <x:v>MRL-FNC-LAM-001</x:v>
      </x:c>
      <x:c r="C4" s="1" t="str">
        <x:v>Цвят</x:v>
      </x:c>
      <x:c r="D4" s="1" t="str">
        <x:v>RAL</x:v>
      </x:c>
      <x:c r="E4" s="1" t="str">
        <x:v>Антрацит</x:v>
      </x:c>
      <x:c r="F4" s="1" t="str">
        <x:v>Да</x:v>
      </x:c>
      <x:c r="G4" s="1" t="n">
        <x:v>3</x:v>
      </x:c>
    </x:row>
    <x:row r="5">
      <x:c r="A5" s="1" t="str">
        <x:v>ATT-004</x:v>
      </x:c>
      <x:c r="B5" s="1" t="str">
        <x:v>MRL-FNC-LAM-002</x:v>
      </x:c>
      <x:c r="C5" s="1" t="str">
        <x:v>Размер</x:v>
      </x:c>
      <x:c r="D5" s="1" t="str">
        <x:v>Височина</x:v>
      </x:c>
      <x:c r="E5" s="1" t="str">
        <x:v>1800 mm</x:v>
      </x:c>
      <x:c r="F5" s="1" t="str">
        <x:v>Да</x:v>
      </x:c>
      <x:c r="G5" s="1" t="n">
        <x:v>1</x:v>
      </x:c>
    </x:row>
    <x:row r="6">
      <x:c r="A6" s="1" t="str">
        <x:v>ATT-005</x:v>
      </x:c>
      <x:c r="B6" s="1" t="str">
        <x:v>MRL-SYS-PNL-001</x:v>
      </x:c>
      <x:c r="C6" s="1" t="str">
        <x:v>Размер</x:v>
      </x:c>
      <x:c r="D6" s="1" t="str">
        <x:v>Размер</x:v>
      </x:c>
      <x:c r="E6" s="1" t="str">
        <x:v>1730 x 2500 mm</x:v>
      </x:c>
      <x:c r="F6" s="1" t="str">
        <x:v>Да</x:v>
      </x:c>
      <x:c r="G6" s="1" t="n">
        <x:v>1</x:v>
      </x:c>
    </x:row>
    <x:row r="7">
      <x:c r="A7" s="1" t="str">
        <x:v>ATT-006</x:v>
      </x:c>
      <x:c r="B7" s="1" t="str">
        <x:v>MRL-SYS-PNL-001</x:v>
      </x:c>
      <x:c r="C7" s="1" t="str">
        <x:v>Материал</x:v>
      </x:c>
      <x:c r="D7" s="1" t="str">
        <x:v>Диаметър тел</x:v>
      </x:c>
      <x:c r="E7" s="1" t="str">
        <x:v>4.0 mm</x:v>
      </x:c>
      <x:c r="F7" s="1" t="str">
        <x:v>Да</x:v>
      </x:c>
      <x:c r="G7" s="1" t="n">
        <x:v>2</x:v>
      </x:c>
    </x:row>
    <x:row r="8">
      <x:c r="A8" s="1" t="str">
        <x:v>ATT-007</x:v>
      </x:c>
      <x:c r="B8" s="1" t="str">
        <x:v>MRL-SYS-POST-001</x:v>
      </x:c>
      <x:c r="C8" s="1" t="str">
        <x:v>Размер</x:v>
      </x:c>
      <x:c r="D8" s="1" t="str">
        <x:v>Профил</x:v>
      </x:c>
      <x:c r="E8" s="1" t="str">
        <x:v>60 x 40 mm</x:v>
      </x:c>
      <x:c r="F8" s="1" t="str">
        <x:v>Да</x:v>
      </x:c>
      <x:c r="G8" s="1" t="n">
        <x:v>1</x:v>
      </x:c>
    </x:row>
    <x:row r="9">
      <x:c r="A9" s="1" t="str">
        <x:v>ATT-008</x:v>
      </x:c>
      <x:c r="B9" s="1" t="str">
        <x:v>MRL-SYS-MSH-001</x:v>
      </x:c>
      <x:c r="C9" s="1" t="str">
        <x:v>Размер</x:v>
      </x:c>
      <x:c r="D9" s="1" t="str">
        <x:v>Дължина</x:v>
      </x:c>
      <x:c r="E9" s="1" t="str">
        <x:v>25 m</x:v>
      </x:c>
      <x:c r="F9" s="1" t="str">
        <x:v>Да</x:v>
      </x:c>
      <x:c r="G9" s="1" t="n">
        <x:v>1</x:v>
      </x:c>
    </x:row>
    <x:row r="10">
      <x:c r="A10" s="1" t="str">
        <x:v>ATT-009</x:v>
      </x:c>
      <x:c r="B10" s="1" t="str">
        <x:v>MRL-SYS-GATE-001</x:v>
      </x:c>
      <x:c r="C10" s="1" t="str">
        <x:v>Приложение</x:v>
      </x:c>
      <x:c r="D10" s="1" t="str">
        <x:v>Тип</x:v>
      </x:c>
      <x:c r="E10" s="1" t="str">
        <x:v>Плъзгаща система</x:v>
      </x:c>
      <x:c r="F10" s="1" t="str">
        <x:v>Да</x:v>
      </x:c>
      <x:c r="G10" s="1" t="n">
        <x:v>1</x:v>
      </x:c>
    </x:row>
    <x:row r="11">
      <x:c r="A11" s="1" t="str">
        <x:v>ATT-010</x:v>
      </x:c>
      <x:c r="B11" s="1" t="str">
        <x:v>MRL-DR-INT-001</x:v>
      </x:c>
      <x:c r="C11" s="1" t="str">
        <x:v>Размер</x:v>
      </x:c>
      <x:c r="D11" s="1" t="str">
        <x:v>Каса</x:v>
      </x:c>
      <x:c r="E11" s="1" t="str">
        <x:v>Регулируема</x:v>
      </x:c>
      <x:c r="F11" s="1" t="str">
        <x:v>Не</x:v>
      </x:c>
      <x:c r="G11" s="1" t="n">
        <x:v>1</x:v>
      </x:c>
    </x:row>
    <x:row r="12">
      <x:c r="A12" s="1" t="str">
        <x:v>ATT-011</x:v>
      </x:c>
      <x:c r="B12" s="1" t="str">
        <x:v>MRL-DR-INT-001</x:v>
      </x:c>
      <x:c r="C12" s="1" t="str">
        <x:v>Материал</x:v>
      </x:c>
      <x:c r="D12" s="1" t="str">
        <x:v>Покритие</x:v>
      </x:c>
      <x:c r="E12" s="1" t="str">
        <x:v>CPL</x:v>
      </x:c>
      <x:c r="F12" s="1" t="str">
        <x:v>Да</x:v>
      </x:c>
      <x:c r="G12" s="1" t="n">
        <x:v>2</x:v>
      </x:c>
    </x:row>
    <x:row r="13">
      <x:c r="A13" s="1" t="str">
        <x:v>ATT-012</x:v>
      </x:c>
      <x:c r="B13" s="1" t="str">
        <x:v>MRL-DR-SEC-001</x:v>
      </x:c>
      <x:c r="C13" s="1" t="str">
        <x:v>Материал</x:v>
      </x:c>
      <x:c r="D13" s="1" t="str">
        <x:v>Конструкция</x:v>
      </x:c>
      <x:c r="E13" s="1" t="str">
        <x:v>Стоманена</x:v>
      </x:c>
      <x:c r="F13" s="1" t="str">
        <x:v>Да</x:v>
      </x:c>
      <x:c r="G13" s="1" t="n">
        <x:v>1</x:v>
      </x:c>
    </x:row>
    <x:row r="14">
      <x:c r="A14" s="1" t="str">
        <x:v>ATT-013</x:v>
      </x:c>
      <x:c r="B14" s="1" t="str">
        <x:v>MRL-DR-SEC-001</x:v>
      </x:c>
      <x:c r="C14" s="1" t="str">
        <x:v>Приложение</x:v>
      </x:c>
      <x:c r="D14" s="1" t="str">
        <x:v>Заключване</x:v>
      </x:c>
      <x:c r="E14" s="1" t="str">
        <x:v>Многоточково</x:v>
      </x:c>
      <x:c r="F14" s="1" t="str">
        <x:v>Да</x:v>
      </x:c>
      <x:c r="G14" s="1" t="n">
        <x:v>2</x:v>
      </x:c>
    </x:row>
    <x:row r="15">
      <x:c r="A15" s="1" t="str">
        <x:v>ATT-014</x:v>
      </x:c>
      <x:c r="B15" s="1" t="str">
        <x:v>MRL-TIL-GR-001</x:v>
      </x:c>
      <x:c r="C15" s="1" t="str">
        <x:v>Размер</x:v>
      </x:c>
      <x:c r="D15" s="1" t="str">
        <x:v>Размер</x:v>
      </x:c>
      <x:c r="E15" s="1" t="str">
        <x:v>60 x 60 cm</x:v>
      </x:c>
      <x:c r="F15" s="1" t="str">
        <x:v>Да</x:v>
      </x:c>
      <x:c r="G15" s="1" t="n">
        <x:v>1</x:v>
      </x:c>
    </x:row>
    <x:row r="16">
      <x:c r="A16" s="1" t="str">
        <x:v>ATT-015</x:v>
      </x:c>
      <x:c r="B16" s="1" t="str">
        <x:v>MRL-TIL-GR-001</x:v>
      </x:c>
      <x:c r="C16" s="1" t="str">
        <x:v>Приложение</x:v>
      </x:c>
      <x:c r="D16" s="1" t="str">
        <x:v>Повърхност</x:v>
      </x:c>
      <x:c r="E16" s="1" t="str">
        <x:v>Мат</x:v>
      </x:c>
      <x:c r="F16" s="1" t="str">
        <x:v>Да</x:v>
      </x:c>
      <x:c r="G16" s="1" t="n">
        <x:v>2</x:v>
      </x:c>
    </x:row>
    <x:row r="17">
      <x:c r="A17" s="1" t="str">
        <x:v>ATT-016</x:v>
      </x:c>
      <x:c r="B17" s="1" t="str">
        <x:v>MRL-TIL-OUT-001</x:v>
      </x:c>
      <x:c r="C17" s="1" t="str">
        <x:v>Приложение</x:v>
      </x:c>
      <x:c r="D17" s="1" t="str">
        <x:v>Мразоустойчивост</x:v>
      </x:c>
      <x:c r="E17" s="1" t="str">
        <x:v>Да</x:v>
      </x:c>
      <x:c r="F17" s="1" t="str">
        <x:v>Да</x:v>
      </x:c>
      <x:c r="G17" s="1" t="n">
        <x:v>1</x:v>
      </x:c>
    </x:row>
    <x:row r="18">
      <x:c r="A18" s="1" t="str">
        <x:v>ATT-017</x:v>
      </x:c>
      <x:c r="B18" s="1" t="str">
        <x:v>MRL-GRN-STEP-001</x:v>
      </x:c>
      <x:c r="C18" s="1" t="str">
        <x:v>Дебелина</x:v>
      </x:c>
      <x:c r="D18" s="1" t="str">
        <x:v>Дебелина</x:v>
      </x:c>
      <x:c r="E18" s="1" t="str">
        <x:v>20 mm</x:v>
      </x:c>
      <x:c r="F18" s="1" t="str">
        <x:v>Да</x:v>
      </x:c>
      <x:c r="G18" s="1" t="n">
        <x:v>1</x:v>
      </x:c>
    </x:row>
    <x:row r="19">
      <x:c r="A19" s="1" t="str">
        <x:v>ATT-018</x:v>
      </x:c>
      <x:c r="B19" s="1" t="str">
        <x:v>MRL-STN-CLD-001</x:v>
      </x:c>
      <x:c r="C19" s="1" t="str">
        <x:v>Материал</x:v>
      </x:c>
      <x:c r="D19" s="1" t="str">
        <x:v>Финиш</x:v>
      </x:c>
      <x:c r="E19" s="1" t="str">
        <x:v>Естествен</x:v>
      </x:c>
      <x:c r="F19" s="1" t="str">
        <x:v>Да</x:v>
      </x:c>
      <x:c r="G19" s="1" t="n">
        <x:v>1</x:v>
      </x:c>
    </x:row>
    <x:row r="20">
      <x:c r="A20" s="1" t="str">
        <x:v>ATT-019</x:v>
      </x:c>
      <x:c r="B20" s="1" t="str">
        <x:v>MRL-BLD-MIX-001</x:v>
      </x:c>
      <x:c r="C20" s="1" t="str">
        <x:v>Приложение</x:v>
      </x:c>
      <x:c r="D20" s="1" t="str">
        <x:v>Клас</x:v>
      </x:c>
      <x:c r="E20" s="1" t="str">
        <x:v>C2TE</x:v>
      </x:c>
      <x:c r="F20" s="1" t="str">
        <x:v>Да</x:v>
      </x:c>
      <x:c r="G20" s="1" t="n">
        <x:v>1</x:v>
      </x:c>
    </x:row>
    <x:row r="21">
      <x:c r="A21" s="1" t="str">
        <x:v>ATT-020</x:v>
      </x:c>
      <x:c r="B21" s="1" t="str">
        <x:v>MRL-BLD-INS-001</x:v>
      </x:c>
      <x:c r="C21" s="1" t="str">
        <x:v>Дебелина</x:v>
      </x:c>
      <x:c r="D21" s="1" t="str">
        <x:v>Дебелина</x:v>
      </x:c>
      <x:c r="E21" s="1" t="str">
        <x:v>50 mm</x:v>
      </x:c>
      <x:c r="F21" s="1" t="str">
        <x:v>Да</x:v>
      </x:c>
      <x:c r="G21" s="1" t="n">
        <x:v>1</x:v>
      </x:c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</x:sheetData>
  <x:dataValidations count="2">
    <x:dataValidation type="list" sqref="C2:C300">
      <x:formula1>Lists!$C$2:$C$9</x:formula1>
    </x:dataValidation>
    <x:dataValidation type="list" sqref="F2:F300">
      <x:formula1>Lists!$A$2:$A$3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cb10965b1c4fc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8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</x:cols>
  <x:sheetData>
    <x:row r="1">
      <x:c r="A1" s="15" t="str">
        <x:v>sku</x:v>
      </x:c>
      <x:c r="B1" s="15" t="str">
        <x:v>product_name</x:v>
      </x:c>
      <x:c r="C1" s="15" t="str">
        <x:v>on_hand</x:v>
      </x:c>
      <x:c r="D1" s="15" t="str">
        <x:v>reserved</x:v>
      </x:c>
      <x:c r="E1" s="15" t="str">
        <x:v>available</x:v>
      </x:c>
      <x:c r="F1" s="15" t="str">
        <x:v>min_stock</x:v>
      </x:c>
      <x:c r="G1" s="15" t="str">
        <x:v>status</x:v>
      </x:c>
      <x:c r="H1" s="15" t="str">
        <x:v>last_update</x:v>
      </x:c>
      <x:c r="I1" s="15" t="str">
        <x:v>notes</x:v>
      </x:c>
    </x:row>
    <x:row r="2">
      <x:c r="A2" s="1" t="str">
        <x:v>MRL-FNC-LAM-001</x:v>
      </x:c>
      <x:c r="B2" s="1" t="str">
        <x:v>Ламелна ограда Premium 1200</x:v>
      </x:c>
      <x:c r="C2" s="18" t="n">
        <x:v>18</x:v>
      </x:c>
      <x:c r="D2" s="18" t="n">
        <x:v>2</x:v>
      </x:c>
      <x:c r="E2" s="18" t="n">
        <x:f>C2-D2</x:f>
        <x:v>16</x:v>
      </x:c>
      <x:c r="F2" s="18" t="n">
        <x:v>4</x:v>
      </x:c>
      <x:c r="G2" s="1" t="str">
        <x:f>IF(E2&lt;=0,"Изчерпан",IF(E2&lt;=F2,"Ниска наличност","В наличност"))</x:f>
        <x:v>В наличност</x:v>
      </x:c>
      <x:c r="H2" s="16" t="n">
        <x:v>46111</x:v>
      </x:c>
      <x:c r="I2" s="1" t="str"/>
    </x:row>
    <x:row r="3">
      <x:c r="A3" s="1" t="str">
        <x:v>MRL-FNC-LAM-002</x:v>
      </x:c>
      <x:c r="B3" s="1" t="str">
        <x:v>Ламелна ограда Premium 1800</x:v>
      </x:c>
      <x:c r="C3" s="18" t="n">
        <x:v>7</x:v>
      </x:c>
      <x:c r="D3" s="18" t="n">
        <x:v>1</x:v>
      </x:c>
      <x:c r="E3" s="18" t="n">
        <x:f>C3-D3</x:f>
        <x:v>6</x:v>
      </x:c>
      <x:c r="F3" s="18" t="n">
        <x:v>3</x:v>
      </x:c>
      <x:c r="G3" s="1" t="str">
        <x:f>IF(E3&lt;=0,"Изчерпан",IF(E3&lt;=F3,"Ниска наличност","В наличност"))</x:f>
        <x:v>В наличност</x:v>
      </x:c>
      <x:c r="H3" s="16" t="n">
        <x:v>46111</x:v>
      </x:c>
      <x:c r="I3" s="1" t="str"/>
    </x:row>
    <x:row r="4">
      <x:c r="A4" s="1" t="str">
        <x:v>MRL-SYS-PNL-001</x:v>
      </x:c>
      <x:c r="B4" s="1" t="str">
        <x:v>Оградно пано 3D 1730x2500</x:v>
      </x:c>
      <x:c r="C4" s="18" t="n">
        <x:v>42</x:v>
      </x:c>
      <x:c r="D4" s="18" t="n">
        <x:v>8</x:v>
      </x:c>
      <x:c r="E4" s="18" t="n">
        <x:f>C4-D4</x:f>
        <x:v>34</x:v>
      </x:c>
      <x:c r="F4" s="18" t="n">
        <x:v>10</x:v>
      </x:c>
      <x:c r="G4" s="1" t="str">
        <x:f>IF(E4&lt;=0,"Изчерпан",IF(E4&lt;=F4,"Ниска наличност","В наличност"))</x:f>
        <x:v>В наличност</x:v>
      </x:c>
      <x:c r="H4" s="16" t="n">
        <x:v>46111</x:v>
      </x:c>
      <x:c r="I4" s="1" t="str"/>
    </x:row>
    <x:row r="5">
      <x:c r="A5" s="1" t="str">
        <x:v>MRL-SYS-POST-001</x:v>
      </x:c>
      <x:c r="B5" s="1" t="str">
        <x:v>Ограден кол 60x40x2200</x:v>
      </x:c>
      <x:c r="C5" s="18" t="n">
        <x:v>95</x:v>
      </x:c>
      <x:c r="D5" s="18" t="n">
        <x:v>6</x:v>
      </x:c>
      <x:c r="E5" s="18" t="n">
        <x:f>C5-D5</x:f>
        <x:v>89</x:v>
      </x:c>
      <x:c r="F5" s="18" t="n">
        <x:v>20</x:v>
      </x:c>
      <x:c r="G5" s="1" t="str">
        <x:f>IF(E5&lt;=0,"Изчерпан",IF(E5&lt;=F5,"Ниска наличност","В наличност"))</x:f>
        <x:v>В наличност</x:v>
      </x:c>
      <x:c r="H5" s="16" t="n">
        <x:v>46111</x:v>
      </x:c>
      <x:c r="I5" s="1" t="str"/>
    </x:row>
    <x:row r="6">
      <x:c r="A6" s="1" t="str">
        <x:v>MRL-SYS-MSH-001</x:v>
      </x:c>
      <x:c r="B6" s="1" t="str">
        <x:v>Поцинкована оградна мрежа 1.50m</x:v>
      </x:c>
      <x:c r="C6" s="18" t="n">
        <x:v>26</x:v>
      </x:c>
      <x:c r="D6" s="18" t="n">
        <x:v>5</x:v>
      </x:c>
      <x:c r="E6" s="18" t="n">
        <x:f>C6-D6</x:f>
        <x:v>21</x:v>
      </x:c>
      <x:c r="F6" s="18" t="n">
        <x:v>8</x:v>
      </x:c>
      <x:c r="G6" s="1" t="str">
        <x:f>IF(E6&lt;=0,"Изчерпан",IF(E6&lt;=F6,"Ниска наличност","В наличност"))</x:f>
        <x:v>В наличност</x:v>
      </x:c>
      <x:c r="H6" s="16" t="n">
        <x:v>46111</x:v>
      </x:c>
      <x:c r="I6" s="1" t="str"/>
    </x:row>
    <x:row r="7">
      <x:c r="A7" s="1" t="str">
        <x:v>MRL-SYS-GATE-001</x:v>
      </x:c>
      <x:c r="B7" s="1" t="str">
        <x:v>Плъзгаща портална система 4m</x:v>
      </x:c>
      <x:c r="C7" s="18" t="n">
        <x:v>3</x:v>
      </x:c>
      <x:c r="D7" s="18" t="n">
        <x:v>1</x:v>
      </x:c>
      <x:c r="E7" s="18" t="n">
        <x:f>C7-D7</x:f>
        <x:v>2</x:v>
      </x:c>
      <x:c r="F7" s="18" t="n">
        <x:v>2</x:v>
      </x:c>
      <x:c r="G7" s="1" t="str">
        <x:f>IF(E7&lt;=0,"Изчерпан",IF(E7&lt;=F7,"Ниска наличност","В наличност"))</x:f>
        <x:v>Ниска наличност</x:v>
      </x:c>
      <x:c r="H7" s="16" t="n">
        <x:v>46111</x:v>
      </x:c>
      <x:c r="I7" s="1" t="str"/>
    </x:row>
    <x:row r="8">
      <x:c r="A8" s="1" t="str">
        <x:v>MRL-DR-INT-001</x:v>
      </x:c>
      <x:c r="B8" s="1" t="str">
        <x:v>Интериорна врата Elegance White</x:v>
      </x:c>
      <x:c r="C8" s="18" t="n">
        <x:v>14</x:v>
      </x:c>
      <x:c r="D8" s="18" t="n">
        <x:v>2</x:v>
      </x:c>
      <x:c r="E8" s="18" t="n">
        <x:f>C8-D8</x:f>
        <x:v>12</x:v>
      </x:c>
      <x:c r="F8" s="18" t="n">
        <x:v>4</x:v>
      </x:c>
      <x:c r="G8" s="1" t="str">
        <x:f>IF(E8&lt;=0,"Изчерпан",IF(E8&lt;=F8,"Ниска наличност","В наличност"))</x:f>
        <x:v>В наличност</x:v>
      </x:c>
      <x:c r="H8" s="16" t="n">
        <x:v>46111</x:v>
      </x:c>
      <x:c r="I8" s="1" t="str"/>
    </x:row>
    <x:row r="9">
      <x:c r="A9" s="1" t="str">
        <x:v>MRL-DR-SEC-001</x:v>
      </x:c>
      <x:c r="B9" s="1" t="str">
        <x:v>Блиндирана врата Secure 90</x:v>
      </x:c>
      <x:c r="C9" s="18" t="n">
        <x:v>4</x:v>
      </x:c>
      <x:c r="D9" s="18" t="n">
        <x:v>1</x:v>
      </x:c>
      <x:c r="E9" s="18" t="n">
        <x:f>C9-D9</x:f>
        <x:v>3</x:v>
      </x:c>
      <x:c r="F9" s="18" t="n">
        <x:v>2</x:v>
      </x:c>
      <x:c r="G9" s="1" t="str">
        <x:f>IF(E9&lt;=0,"Изчерпан",IF(E9&lt;=F9,"Ниска наличност","В наличност"))</x:f>
        <x:v>В наличност</x:v>
      </x:c>
      <x:c r="H9" s="16" t="n">
        <x:v>46111</x:v>
      </x:c>
      <x:c r="I9" s="1" t="str"/>
    </x:row>
    <x:row r="10">
      <x:c r="A10" s="1" t="str">
        <x:v>MRL-TIL-GR-001</x:v>
      </x:c>
      <x:c r="B10" s="1" t="str">
        <x:v>Гранитогрес Stone Grey 60x60</x:v>
      </x:c>
      <x:c r="C10" s="18" t="n">
        <x:v>120</x:v>
      </x:c>
      <x:c r="D10" s="18" t="n">
        <x:v>12</x:v>
      </x:c>
      <x:c r="E10" s="18" t="n">
        <x:f>C10-D10</x:f>
        <x:v>108</x:v>
      </x:c>
      <x:c r="F10" s="18" t="n">
        <x:v>40</x:v>
      </x:c>
      <x:c r="G10" s="1" t="str">
        <x:f>IF(E10&lt;=0,"Изчерпан",IF(E10&lt;=F10,"Ниска наличност","В наличност"))</x:f>
        <x:v>В наличност</x:v>
      </x:c>
      <x:c r="H10" s="16" t="n">
        <x:v>46111</x:v>
      </x:c>
      <x:c r="I10" s="1" t="str"/>
    </x:row>
    <x:row r="11">
      <x:c r="A11" s="1" t="str">
        <x:v>MRL-TIL-OUT-001</x:v>
      </x:c>
      <x:c r="B11" s="1" t="str">
        <x:v>Външни плочки Nordic 30x60</x:v>
      </x:c>
      <x:c r="C11" s="18" t="n">
        <x:v>0</x:v>
      </x:c>
      <x:c r="D11" s="18" t="n">
        <x:v>0</x:v>
      </x:c>
      <x:c r="E11" s="18" t="n">
        <x:f>C11-D11</x:f>
        <x:v>0</x:v>
      </x:c>
      <x:c r="F11" s="18" t="n">
        <x:v>25</x:v>
      </x:c>
      <x:c r="G11" s="1" t="str">
        <x:f>IF(E11&lt;=0,"Изчерпан",IF(E11&lt;=F11,"Ниска наличност","В наличност"))</x:f>
        <x:v>Изчерпан</x:v>
      </x:c>
      <x:c r="H11" s="16" t="n">
        <x:v>46111</x:v>
      </x:c>
      <x:c r="I11" s="1" t="str">
        <x:v>Очаквана доставка</x:v>
      </x:c>
    </x:row>
    <x:row r="12">
      <x:c r="A12" s="1" t="str">
        <x:v>MRL-GRN-STEP-001</x:v>
      </x:c>
      <x:c r="B12" s="1" t="str">
        <x:v>Гранитно стъпало G603 150x33</x:v>
      </x:c>
      <x:c r="C12" s="18" t="n">
        <x:v>21</x:v>
      </x:c>
      <x:c r="D12" s="18" t="n">
        <x:v>3</x:v>
      </x:c>
      <x:c r="E12" s="18" t="n">
        <x:f>C12-D12</x:f>
        <x:v>18</x:v>
      </x:c>
      <x:c r="F12" s="18" t="n">
        <x:v>6</x:v>
      </x:c>
      <x:c r="G12" s="1" t="str">
        <x:f>IF(E12&lt;=0,"Изчерпан",IF(E12&lt;=F12,"Ниска наличност","В наличност"))</x:f>
        <x:v>В наличност</x:v>
      </x:c>
      <x:c r="H12" s="16" t="n">
        <x:v>46111</x:v>
      </x:c>
      <x:c r="I12" s="1" t="str"/>
    </x:row>
    <x:row r="13">
      <x:c r="A13" s="1" t="str">
        <x:v>MRL-STN-CLD-001</x:v>
      </x:c>
      <x:c r="B13" s="1" t="str">
        <x:v>Облицовъчен камък Rustica Mix</x:v>
      </x:c>
      <x:c r="C13" s="18" t="n">
        <x:v>58</x:v>
      </x:c>
      <x:c r="D13" s="18" t="n">
        <x:v>7</x:v>
      </x:c>
      <x:c r="E13" s="18" t="n">
        <x:f>C13-D13</x:f>
        <x:v>51</x:v>
      </x:c>
      <x:c r="F13" s="18" t="n">
        <x:v>15</x:v>
      </x:c>
      <x:c r="G13" s="1" t="str">
        <x:f>IF(E13&lt;=0,"Изчерпан",IF(E13&lt;=F13,"Ниска наличност","В наличност"))</x:f>
        <x:v>В наличност</x:v>
      </x:c>
      <x:c r="H13" s="16" t="n">
        <x:v>46111</x:v>
      </x:c>
      <x:c r="I13" s="1" t="str"/>
    </x:row>
    <x:row r="14">
      <x:c r="A14" s="1" t="str">
        <x:v>MRL-BLD-MIX-001</x:v>
      </x:c>
      <x:c r="B14" s="1" t="str">
        <x:v>Лепило Flex C2TE 25kg</x:v>
      </x:c>
      <x:c r="C14" s="18" t="n">
        <x:v>83</x:v>
      </x:c>
      <x:c r="D14" s="18" t="n">
        <x:v>10</x:v>
      </x:c>
      <x:c r="E14" s="18" t="n">
        <x:f>C14-D14</x:f>
        <x:v>73</x:v>
      </x:c>
      <x:c r="F14" s="18" t="n">
        <x:v>20</x:v>
      </x:c>
      <x:c r="G14" s="1" t="str">
        <x:f>IF(E14&lt;=0,"Изчерпан",IF(E14&lt;=F14,"Ниска наличност","В наличност"))</x:f>
        <x:v>В наличност</x:v>
      </x:c>
      <x:c r="H14" s="16" t="n">
        <x:v>46111</x:v>
      </x:c>
      <x:c r="I14" s="1" t="str"/>
    </x:row>
    <x:row r="15">
      <x:c r="A15" s="1" t="str">
        <x:v>MRL-BLD-INS-001</x:v>
      </x:c>
      <x:c r="B15" s="1" t="str">
        <x:v>XPS изолация 5cm</x:v>
      </x:c>
      <x:c r="C15" s="18" t="n">
        <x:v>34</x:v>
      </x:c>
      <x:c r="D15" s="18" t="n">
        <x:v>4</x:v>
      </x:c>
      <x:c r="E15" s="18" t="n">
        <x:f>C15-D15</x:f>
        <x:v>30</x:v>
      </x:c>
      <x:c r="F15" s="18" t="n">
        <x:v>12</x:v>
      </x:c>
      <x:c r="G15" s="1" t="str">
        <x:f>IF(E15&lt;=0,"Изчерпан",IF(E15&lt;=F15,"Ниска наличност","В наличност"))</x:f>
        <x:v>В наличност</x:v>
      </x:c>
      <x:c r="H15" s="16" t="n">
        <x:v>46111</x:v>
      </x:c>
      <x:c r="I15" s="1" t="str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</x:row>
  </x:sheetData>
  <x:conditionalFormatting sqref="G2:G300">
    <x:cfRule type="expression" dxfId="3" priority="1">
      <x:formula>$G2="Изчерпан"</x:formula>
    </x:cfRule>
    <x:cfRule type="expression" dxfId="4" priority="2">
      <x:formula>$G2="Ниска наличност"</x:formula>
    </x:cfRule>
    <x:cfRule type="expression" dxfId="5" priority="3">
      <x:formula>$G2="В наличност"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25fa4dd8d347bf"/>
  </x:tableParts>
</x:worksheet>
</file>