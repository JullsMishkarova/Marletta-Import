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5"/>
    <sheet state="visible" name="Lists" sheetId="2" r:id="rId6"/>
    <sheet state="visible" name="Categories" sheetId="3" r:id="rId7"/>
    <sheet state="visible" name="Products" sheetId="4" r:id="rId8"/>
    <sheet state="visible" name="Attributes" sheetId="5" r:id="rId9"/>
    <sheet state="visible" name="Inventory" sheetId="6" r:id="rId10"/>
  </sheets>
  <definedNames/>
  <calcPr/>
</workbook>
</file>

<file path=xl/sharedStrings.xml><?xml version="1.0" encoding="utf-8"?>
<sst xmlns="http://schemas.openxmlformats.org/spreadsheetml/2006/main" count="670" uniqueCount="383">
  <si>
    <t>Marletta каталог + наличности + Google Sheets шаблон</t>
  </si>
  <si>
    <t>Този файл е направен така, че да управлявате много продукти без да пипате кода на сайта при всяка промяна. Най-сетне един разумен подход.</t>
  </si>
  <si>
    <t>1. Качи файла в Google Sheets.</t>
  </si>
  <si>
    <t>Полезни бележки:
• SKU трябва да е уникално.
• Не сменяй имената на колоните.
• За сайт се показват само редове с is_active = Да.
• За продукти без цена можеш да оставиш price_bgn празно.
• image_1 може да е локален път или външен URL.</t>
  </si>
  <si>
    <t>2. Запази имената на листовете: Categories, Products, Attributes, Inventory.</t>
  </si>
  <si>
    <t>3. Добавяй нови артикули в Products, а наличности поддържай в Inventory.</t>
  </si>
  <si>
    <t>4. Products дърпа наличностите автоматично по SKU от Inventory.</t>
  </si>
  <si>
    <t>5. Допълнителни характеристики за сайта се добавят в Attributes.</t>
  </si>
  <si>
    <t>6. В js/config.js на сайта попълни само spreadsheetId и включи mode: 'google-sheet'.</t>
  </si>
  <si>
    <t>7. Остави файла споделен поне с View access, за да може сайтът да чете данните.</t>
  </si>
  <si>
    <t>Листове в този файл</t>
  </si>
  <si>
    <t>README</t>
  </si>
  <si>
    <t>Инструкции</t>
  </si>
  <si>
    <t>Как се ползва файлът и как се връзва към сайта.</t>
  </si>
  <si>
    <t>Lists</t>
  </si>
  <si>
    <t>Списъци</t>
  </si>
  <si>
    <t>Помощни стойности за падащи менюта.</t>
  </si>
  <si>
    <t>Categories</t>
  </si>
  <si>
    <t>Категории</t>
  </si>
  <si>
    <t>Главни категории и подкатегории за менюта и филтри.</t>
  </si>
  <si>
    <t>Products</t>
  </si>
  <si>
    <t>Продукти</t>
  </si>
  <si>
    <t>Основен каталог за сайта.</t>
  </si>
  <si>
    <t>Attributes</t>
  </si>
  <si>
    <t>Характеристики</t>
  </si>
  <si>
    <t>Допълнителни атрибути по SKU.</t>
  </si>
  <si>
    <t>Inventory</t>
  </si>
  <si>
    <t>Наличности</t>
  </si>
  <si>
    <t>Наличности, резервирани количества и статус.</t>
  </si>
  <si>
    <t>Yes/No</t>
  </si>
  <si>
    <t>Units</t>
  </si>
  <si>
    <t>Attribute Groups</t>
  </si>
  <si>
    <t>Да</t>
  </si>
  <si>
    <t>бр.</t>
  </si>
  <si>
    <t>Размер</t>
  </si>
  <si>
    <t>Не</t>
  </si>
  <si>
    <t>м²</t>
  </si>
  <si>
    <t>Материал</t>
  </si>
  <si>
    <t>л.м.</t>
  </si>
  <si>
    <t>Цвят</t>
  </si>
  <si>
    <t>комплект</t>
  </si>
  <si>
    <t>Покритие</t>
  </si>
  <si>
    <t>палет</t>
  </si>
  <si>
    <t>Приложение</t>
  </si>
  <si>
    <t>торба</t>
  </si>
  <si>
    <t>Серия</t>
  </si>
  <si>
    <t>Монтаж</t>
  </si>
  <si>
    <t>Дебелина</t>
  </si>
  <si>
    <t>category_id</t>
  </si>
  <si>
    <t>parent_id</t>
  </si>
  <si>
    <t>level</t>
  </si>
  <si>
    <t>slug</t>
  </si>
  <si>
    <t>name_bg</t>
  </si>
  <si>
    <t>menu_label</t>
  </si>
  <si>
    <t>short_description</t>
  </si>
  <si>
    <t>hero_title</t>
  </si>
  <si>
    <t>hero_subtitle</t>
  </si>
  <si>
    <t>image</t>
  </si>
  <si>
    <t>sort_order</t>
  </si>
  <si>
    <t>is_active</t>
  </si>
  <si>
    <t>CAT-FENCES</t>
  </si>
  <si>
    <t>ogradi</t>
  </si>
  <si>
    <t>Огради</t>
  </si>
  <si>
    <t>Решения за дворни, жилищни и бизнес обекти.</t>
  </si>
  <si>
    <t>Огради за сигурност и завършен вид</t>
  </si>
  <si>
    <t>Ламелни, панелни и дворни решения за частни и бизнес обекти.</t>
  </si>
  <si>
    <t>assets/cat-fences-main.jpg</t>
  </si>
  <si>
    <t>CAT-SYSTEMS</t>
  </si>
  <si>
    <t>ogradni-sistemi</t>
  </si>
  <si>
    <t>Оградни системи</t>
  </si>
  <si>
    <t>Пана, колове, мрежи, портални решения и аксесоари.</t>
  </si>
  <si>
    <t>Оградни системи и аксесоари</t>
  </si>
  <si>
    <t>Практична продуктова база за монтаж, завършване и разширение на периметър.</t>
  </si>
  <si>
    <t>assets/cat-systems.jpg</t>
  </si>
  <si>
    <t>CAT-DOORS</t>
  </si>
  <si>
    <t>vrati</t>
  </si>
  <si>
    <t>Интериорни и блиндирани врати</t>
  </si>
  <si>
    <t>Врати</t>
  </si>
  <si>
    <t>Вътрешни, входни и защитни решения.</t>
  </si>
  <si>
    <t>Врати за интериор и сигурност</t>
  </si>
  <si>
    <t>Практичен избор за апартаменти, къщи, офиси и търговски площи.</t>
  </si>
  <si>
    <t>assets/cat-doors.jpg</t>
  </si>
  <si>
    <t>CAT-MAT</t>
  </si>
  <si>
    <t>stroitelni-materiali</t>
  </si>
  <si>
    <t>Строителни материали</t>
  </si>
  <si>
    <t>Материали</t>
  </si>
  <si>
    <t>Сухи смеси, изолации, крепеж и основни строителни продукти.</t>
  </si>
  <si>
    <t>Строителни материали за обекти</t>
  </si>
  <si>
    <t>Практичен асортимент за строеж, ремонт и довършителни работи.</t>
  </si>
  <si>
    <t>assets/cat-materials.jpg</t>
  </si>
  <si>
    <t>CAT-TILES</t>
  </si>
  <si>
    <t>plochki</t>
  </si>
  <si>
    <t>Плочки</t>
  </si>
  <si>
    <t>Интериорни и екстериорни плочки и гранитогрес.</t>
  </si>
  <si>
    <t>Плочки за интериор и екстериор</t>
  </si>
  <si>
    <t>Решения за бани, кухни, тераси и външни зони.</t>
  </si>
  <si>
    <t>assets/cat-tiles.jpg</t>
  </si>
  <si>
    <t>CAT-GRANITE</t>
  </si>
  <si>
    <t>granit</t>
  </si>
  <si>
    <t>Гранит</t>
  </si>
  <si>
    <t>Гранитни плочи, стъпала и детайли.</t>
  </si>
  <si>
    <t>Гранит за натоварени зони</t>
  </si>
  <si>
    <t>Издръжливи решения за стъпала, външни настилки и фасадни елементи.</t>
  </si>
  <si>
    <t>assets/cat-granite.jpg</t>
  </si>
  <si>
    <t>CAT-STONE</t>
  </si>
  <si>
    <t>kamak</t>
  </si>
  <si>
    <t>Камък</t>
  </si>
  <si>
    <t>Естествен и декоративен камък за облицовки и акценти.</t>
  </si>
  <si>
    <t>Камък за облицовки и екстериор</t>
  </si>
  <si>
    <t>Подходящ за фасади, огради, дворове и декоративни зони.</t>
  </si>
  <si>
    <t>assets/cat-stone.jpg</t>
  </si>
  <si>
    <t>SUB-LAM</t>
  </si>
  <si>
    <t>lamelni-ogradi</t>
  </si>
  <si>
    <t>Ламелни огради</t>
  </si>
  <si>
    <t>Ламелни</t>
  </si>
  <si>
    <t>Съвременни хоризонтални решения с по-висока защита на личното пространство.</t>
  </si>
  <si>
    <t>assets/hero-slide-1.jpg</t>
  </si>
  <si>
    <t>SUB-YARD</t>
  </si>
  <si>
    <t>dvorni-ogradi</t>
  </si>
  <si>
    <t>Дворни огради</t>
  </si>
  <si>
    <t>Дворни</t>
  </si>
  <si>
    <t>Класически решения за частни имоти и вилни зони.</t>
  </si>
  <si>
    <t>SUB-PANELS</t>
  </si>
  <si>
    <t>ogradni-pana</t>
  </si>
  <si>
    <t>Оградни пана</t>
  </si>
  <si>
    <t>Пана</t>
  </si>
  <si>
    <t>Поцинковани и прахово боядисани панели за цялостни системи.</t>
  </si>
  <si>
    <t>SUB-MESH</t>
  </si>
  <si>
    <t>ogradni-mrezhi</t>
  </si>
  <si>
    <t>Оградни мрежи</t>
  </si>
  <si>
    <t>Мрежи</t>
  </si>
  <si>
    <t>Практични решения за дворове, земеделски и индустриални площи.</t>
  </si>
  <si>
    <t>assets/cat-fences-alt.jpg</t>
  </si>
  <si>
    <t>SUB-POSTS</t>
  </si>
  <si>
    <t>kolove-i-aksesoari</t>
  </si>
  <si>
    <t>Колове и аксесоари</t>
  </si>
  <si>
    <t>Колове</t>
  </si>
  <si>
    <t>Колове, капачки, скоби, тел и монтажни елементи.</t>
  </si>
  <si>
    <t>SUB-GATES</t>
  </si>
  <si>
    <t>portalni-sistemi</t>
  </si>
  <si>
    <t>Портални системи</t>
  </si>
  <si>
    <t>Портали</t>
  </si>
  <si>
    <t>Плъзгащи и двукрили системи за контрол на достъпа.</t>
  </si>
  <si>
    <t>SUB-INT</t>
  </si>
  <si>
    <t>interiorni-vrati</t>
  </si>
  <si>
    <t>Интериорни врати</t>
  </si>
  <si>
    <t>Интериорни</t>
  </si>
  <si>
    <t>Модели за жилища, офиси и търговски площи.</t>
  </si>
  <si>
    <t>SUB-SEC</t>
  </si>
  <si>
    <t>blindirani-vrati</t>
  </si>
  <si>
    <t>Блиндирани врати</t>
  </si>
  <si>
    <t>Блиндирани</t>
  </si>
  <si>
    <t>За по-висока сигурност и стабилност на входове.</t>
  </si>
  <si>
    <t>SUB-PORC</t>
  </si>
  <si>
    <t>granitogres</t>
  </si>
  <si>
    <t>Гранитогрес</t>
  </si>
  <si>
    <t>Устойчиви решения за натоварени вътрешни и външни площи.</t>
  </si>
  <si>
    <t>SUB-OUTT</t>
  </si>
  <si>
    <t>vunshni-plochki</t>
  </si>
  <si>
    <t>Външни плочки</t>
  </si>
  <si>
    <t>Външни</t>
  </si>
  <si>
    <t>Плочки за тераси, дворове и външни пътеки.</t>
  </si>
  <si>
    <t>SUB-STEP</t>
  </si>
  <si>
    <t>granitni-stupala</t>
  </si>
  <si>
    <t>Гранитни стъпала</t>
  </si>
  <si>
    <t>Стъпала</t>
  </si>
  <si>
    <t>Гранитни стъпала и челни детайли.</t>
  </si>
  <si>
    <t>SUB-CLAD</t>
  </si>
  <si>
    <t>oblicovuchen-kamuk</t>
  </si>
  <si>
    <t>Облицовъчен камък</t>
  </si>
  <si>
    <t>Облицовки</t>
  </si>
  <si>
    <t>Камък за фасади, огради и декоративни елементи.</t>
  </si>
  <si>
    <t>SUB-MIX</t>
  </si>
  <si>
    <t>suhi-smesi</t>
  </si>
  <si>
    <t>Сухи смеси</t>
  </si>
  <si>
    <t>Лепила, шпакловки, фуги и разтвори.</t>
  </si>
  <si>
    <t>SUB-INS</t>
  </si>
  <si>
    <t>izolacii</t>
  </si>
  <si>
    <t>Изолации</t>
  </si>
  <si>
    <t>XPS, EPS и съпътстващи материали.</t>
  </si>
  <si>
    <t>product_id</t>
  </si>
  <si>
    <t>sku</t>
  </si>
  <si>
    <t>category_slug</t>
  </si>
  <si>
    <t>subcategory_slug</t>
  </si>
  <si>
    <t>short_desc_bg</t>
  </si>
  <si>
    <t>material</t>
  </si>
  <si>
    <t>color</t>
  </si>
  <si>
    <t>size</t>
  </si>
  <si>
    <t>unit</t>
  </si>
  <si>
    <t>price_bgn</t>
  </si>
  <si>
    <t>promo_price_bgn</t>
  </si>
  <si>
    <t>stock_qty</t>
  </si>
  <si>
    <t>min_stock</t>
  </si>
  <si>
    <t>stock_status</t>
  </si>
  <si>
    <t>is_featured</t>
  </si>
  <si>
    <t>image_1</t>
  </si>
  <si>
    <t>image_2</t>
  </si>
  <si>
    <t>image_3</t>
  </si>
  <si>
    <t>spec_pdf</t>
  </si>
  <si>
    <t>seo_title</t>
  </si>
  <si>
    <t>seo_description</t>
  </si>
  <si>
    <t>PRD-001</t>
  </si>
  <si>
    <t>MRL-FNC-LAM-001</t>
  </si>
  <si>
    <t>Ламелна ограда Premium 1200</t>
  </si>
  <si>
    <t>Модерен хоризонтален дизайн за повече уединение и завършен вид.</t>
  </si>
  <si>
    <t>Поцинкована стомана</t>
  </si>
  <si>
    <t>Антрацит</t>
  </si>
  <si>
    <t>1200 x 2000 mm</t>
  </si>
  <si>
    <t>Ламелна ограда Premium 1200 | Marletta</t>
  </si>
  <si>
    <t>Ламелна ограда с прахово боядисано покритие и модерен антрацитен завършек.</t>
  </si>
  <si>
    <t>PRD-002</t>
  </si>
  <si>
    <t>MRL-FNC-LAM-002</t>
  </si>
  <si>
    <t>Ламелна ограда Premium 1800</t>
  </si>
  <si>
    <t>По-висок вариант за по-добра защита на личното пространство.</t>
  </si>
  <si>
    <t>Черно</t>
  </si>
  <si>
    <t>1800 x 2000 mm</t>
  </si>
  <si>
    <t>Ламелна ограда Premium 1800 | Marletta</t>
  </si>
  <si>
    <t>Ламелна ограда за жилищни и бизнес обекти.</t>
  </si>
  <si>
    <t>PRD-003</t>
  </si>
  <si>
    <t>MRL-SYS-PNL-001</t>
  </si>
  <si>
    <t>Оградно пано 3D 1730x2500</t>
  </si>
  <si>
    <t>Класическо 3D пано за сигурен и чист периметър.</t>
  </si>
  <si>
    <t>Стомана</t>
  </si>
  <si>
    <t>Зелено RAL 6005</t>
  </si>
  <si>
    <t>1730 x 2500 mm</t>
  </si>
  <si>
    <t>Оградно пано 3D 1730x2500 | Marletta</t>
  </si>
  <si>
    <t>Поцинковано и прахово боядисано оградно пано за системен монтаж.</t>
  </si>
  <si>
    <t>PRD-004</t>
  </si>
  <si>
    <t>MRL-SYS-POST-001</t>
  </si>
  <si>
    <t>Ограден кол 60x40x2200</t>
  </si>
  <si>
    <t>Съвместим с 3D пана и различни системни решения.</t>
  </si>
  <si>
    <t>60 x 40 x 2200 mm</t>
  </si>
  <si>
    <t>Ограден кол 60x40x2200 | Marletta</t>
  </si>
  <si>
    <t>Системен кол за монтаж на панели и мрежи.</t>
  </si>
  <si>
    <t>PRD-005</t>
  </si>
  <si>
    <t>MRL-SYS-MSH-001</t>
  </si>
  <si>
    <t>Поцинкована оградна мрежа 1.50m</t>
  </si>
  <si>
    <t>Икономично решение за земеделски, дворни и индустриални терени.</t>
  </si>
  <si>
    <t>Поцинковано</t>
  </si>
  <si>
    <t>1.50 x 25 m</t>
  </si>
  <si>
    <t>ролка</t>
  </si>
  <si>
    <t>Поцинкована оградна мрежа 1.50m | Marletta</t>
  </si>
  <si>
    <t>Оградна мрежа на ролка за бърз и практичен монтаж.</t>
  </si>
  <si>
    <t>PRD-006</t>
  </si>
  <si>
    <t>MRL-SYS-GATE-001</t>
  </si>
  <si>
    <t>Плъзгаща портална система 4m</t>
  </si>
  <si>
    <t>Комплект за надеждно и плавно отваряне на портал.</t>
  </si>
  <si>
    <t>4 m</t>
  </si>
  <si>
    <t>Плъзгаща портална система 4m | Marletta</t>
  </si>
  <si>
    <t>Комплект за плъзгаща врата за частни и индустриални обекти.</t>
  </si>
  <si>
    <t>PRD-007</t>
  </si>
  <si>
    <t>MRL-DR-INT-001</t>
  </si>
  <si>
    <t>Интериорна врата Elegance White</t>
  </si>
  <si>
    <t>Изчистен модел за апартаменти, офиси и хотелски помещения.</t>
  </si>
  <si>
    <t>MDF / HDF</t>
  </si>
  <si>
    <t>Бяло</t>
  </si>
  <si>
    <t>80/200 cm</t>
  </si>
  <si>
    <t>Интериорна врата Elegance White | Marletta</t>
  </si>
  <si>
    <t>Интериорна врата с модерна визия и лесна поддръжка.</t>
  </si>
  <si>
    <t>PRD-008</t>
  </si>
  <si>
    <t>MRL-DR-SEC-001</t>
  </si>
  <si>
    <t>Блиндирана врата Secure 90</t>
  </si>
  <si>
    <t>Подсилена конструкция за входове на апартаменти и офиси.</t>
  </si>
  <si>
    <t>Стомана / MDF</t>
  </si>
  <si>
    <t>Тъмен дъб</t>
  </si>
  <si>
    <t>90/200 cm</t>
  </si>
  <si>
    <t>Блиндирана врата Secure 90 | Marletta</t>
  </si>
  <si>
    <t>Сигурна входна врата с добра изолация и завършен външен вид.</t>
  </si>
  <si>
    <t>PRD-009</t>
  </si>
  <si>
    <t>MRL-TIL-GR-001</t>
  </si>
  <si>
    <t>Гранитогрес Stone Grey 60x60</t>
  </si>
  <si>
    <t>Подходящ за интериорни и по-натоварени зони.</t>
  </si>
  <si>
    <t>Stone Grey</t>
  </si>
  <si>
    <t>60 x 60 cm</t>
  </si>
  <si>
    <t>Гранитогрес Stone Grey 60x60 | Marletta</t>
  </si>
  <si>
    <t>Гранитогрес за подове и стени с каменен ефект.</t>
  </si>
  <si>
    <t>PRD-010</t>
  </si>
  <si>
    <t>MRL-TIL-OUT-001</t>
  </si>
  <si>
    <t>Външни плочки Nordic 30x60</t>
  </si>
  <si>
    <t>Мразоустойчиво решение за тераси и външни площи.</t>
  </si>
  <si>
    <t>Керамика</t>
  </si>
  <si>
    <t>Сив</t>
  </si>
  <si>
    <t>30 x 60 cm</t>
  </si>
  <si>
    <t>Външни плочки Nordic 30x60 | Marletta</t>
  </si>
  <si>
    <t>Външни плочки с противоплъзгаща повърхност.</t>
  </si>
  <si>
    <t>PRD-011</t>
  </si>
  <si>
    <t>MRL-GRN-STEP-001</t>
  </si>
  <si>
    <t>Гранитно стъпало G603 150x33</t>
  </si>
  <si>
    <t>Практичен избор за външни стълби и обществени зони.</t>
  </si>
  <si>
    <t>Гранит G603</t>
  </si>
  <si>
    <t>Светлосиво</t>
  </si>
  <si>
    <t>150 x 33 x 2 cm</t>
  </si>
  <si>
    <t>Гранитно стъпало G603 150x33 | Marletta</t>
  </si>
  <si>
    <t>Гранитно стъпало за натоварени и външни пространства.</t>
  </si>
  <si>
    <t>PRD-012</t>
  </si>
  <si>
    <t>MRL-STN-CLD-001</t>
  </si>
  <si>
    <t>Облицовъчен камък Rustica Mix</t>
  </si>
  <si>
    <t>Естествена визия за фасади, огради и декоративни стени.</t>
  </si>
  <si>
    <t>Естествен камък</t>
  </si>
  <si>
    <t>Микс</t>
  </si>
  <si>
    <t>Free length</t>
  </si>
  <si>
    <t>Облицовъчен камък Rustica Mix | Marletta</t>
  </si>
  <si>
    <t>Камък за фасадни и екстериорни облицовки.</t>
  </si>
  <si>
    <t>PRD-013</t>
  </si>
  <si>
    <t>MRL-BLD-MIX-001</t>
  </si>
  <si>
    <t>Лепило Flex C2TE 25kg</t>
  </si>
  <si>
    <t>За плочки, гранитогрес и външни приложения.</t>
  </si>
  <si>
    <t>Суха смес</t>
  </si>
  <si>
    <t>Сиво</t>
  </si>
  <si>
    <t>25 kg</t>
  </si>
  <si>
    <t>Лепило Flex C2TE 25kg | Marletta</t>
  </si>
  <si>
    <t>Лепило за плочки с добра еластичност и сцепление.</t>
  </si>
  <si>
    <t>PRD-014</t>
  </si>
  <si>
    <t>MRL-BLD-INS-001</t>
  </si>
  <si>
    <t>XPS изолация 5cm</t>
  </si>
  <si>
    <t>Твърда плоча за подове, основи и външни зони.</t>
  </si>
  <si>
    <t>XPS</t>
  </si>
  <si>
    <t>Син</t>
  </si>
  <si>
    <t>1250 x 600 x 50 mm</t>
  </si>
  <si>
    <t>XPS изолация 5cm | Marletta</t>
  </si>
  <si>
    <t>XPS плочи за топлоизолация и висока устойчивост на влага.</t>
  </si>
  <si>
    <t>attribute_id</t>
  </si>
  <si>
    <t>attribute_group</t>
  </si>
  <si>
    <t>attribute_name_bg</t>
  </si>
  <si>
    <t>attribute_value_bg</t>
  </si>
  <si>
    <t>is_filterable</t>
  </si>
  <si>
    <t>ATT-001</t>
  </si>
  <si>
    <t>Височина</t>
  </si>
  <si>
    <t>1200 mm</t>
  </si>
  <si>
    <t>ATT-002</t>
  </si>
  <si>
    <t>Прахово боядисано</t>
  </si>
  <si>
    <t>ATT-003</t>
  </si>
  <si>
    <t>RAL</t>
  </si>
  <si>
    <t>ATT-004</t>
  </si>
  <si>
    <t>1800 mm</t>
  </si>
  <si>
    <t>ATT-005</t>
  </si>
  <si>
    <t>ATT-006</t>
  </si>
  <si>
    <t>Диаметър тел</t>
  </si>
  <si>
    <t>4.0 mm</t>
  </si>
  <si>
    <t>ATT-007</t>
  </si>
  <si>
    <t>Профил</t>
  </si>
  <si>
    <t>60 x 40 mm</t>
  </si>
  <si>
    <t>ATT-008</t>
  </si>
  <si>
    <t>Дължина</t>
  </si>
  <si>
    <t>25 m</t>
  </si>
  <si>
    <t>ATT-009</t>
  </si>
  <si>
    <t>Тип</t>
  </si>
  <si>
    <t>Плъзгаща система</t>
  </si>
  <si>
    <t>ATT-010</t>
  </si>
  <si>
    <t>Каса</t>
  </si>
  <si>
    <t>Регулируема</t>
  </si>
  <si>
    <t>ATT-011</t>
  </si>
  <si>
    <t>CPL</t>
  </si>
  <si>
    <t>ATT-012</t>
  </si>
  <si>
    <t>Конструкция</t>
  </si>
  <si>
    <t>Стоманена</t>
  </si>
  <si>
    <t>ATT-013</t>
  </si>
  <si>
    <t>Заключване</t>
  </si>
  <si>
    <t>Многоточково</t>
  </si>
  <si>
    <t>ATT-014</t>
  </si>
  <si>
    <t>ATT-015</t>
  </si>
  <si>
    <t>Повърхност</t>
  </si>
  <si>
    <t>Мат</t>
  </si>
  <si>
    <t>ATT-016</t>
  </si>
  <si>
    <t>Мразоустойчивост</t>
  </si>
  <si>
    <t>ATT-017</t>
  </si>
  <si>
    <t>20 mm</t>
  </si>
  <si>
    <t>ATT-018</t>
  </si>
  <si>
    <t>Финиш</t>
  </si>
  <si>
    <t>Естествен</t>
  </si>
  <si>
    <t>ATT-019</t>
  </si>
  <si>
    <t>Клас</t>
  </si>
  <si>
    <t>C2TE</t>
  </si>
  <si>
    <t>ATT-020</t>
  </si>
  <si>
    <t>50 mm</t>
  </si>
  <si>
    <t>product_name</t>
  </si>
  <si>
    <t>on_hand</t>
  </si>
  <si>
    <t>reserved</t>
  </si>
  <si>
    <t>available</t>
  </si>
  <si>
    <t>status</t>
  </si>
  <si>
    <t>last_update</t>
  </si>
  <si>
    <t>notes</t>
  </si>
  <si>
    <t>Очаквана доставка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</si>
</sst>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8">
    <font>
      <sz val="11.0"/>
      <color rgb="FF000000"/>
      <name val="Carlito"/>
      <scheme val="minor"/>
    </font>
    <font>
      <b/>
      <sz val="11.0"/>
      <color rgb="FFFFFFFF"/>
      <name val="Carlito"/>
    </font>
    <font>
      <i/>
      <sz val="11.0"/>
      <color rgb="FF222222"/>
      <name val="Carlito"/>
    </font>
    <font>
      <sz val="11.0"/>
      <color theme="1"/>
      <name val="Carlito"/>
    </font>
    <font>
      <b/>
      <sz val="11.0"/>
      <color theme="1"/>
      <name val="Carlito"/>
    </font>
    <font>
      <sz val="11.0"/>
      <color rgb="FFFFFFFF"/>
      <name val="Carlito"/>
    </font>
    <font>
      <b/>
      <sz val="11.0"/>
      <color rgb="FF111111"/>
      <name val="Carlito"/>
    </font>
    <font>
      <color theme="1"/>
      <name val="Carlito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D90F16"/>
        <bgColor rgb="FFD90F16"/>
      </patternFill>
    </fill>
    <fill>
      <patternFill patternType="solid">
        <fgColor rgb="FFF4F4F4"/>
        <bgColor rgb="FFF4F4F4"/>
      </patternFill>
    </fill>
    <fill>
      <patternFill patternType="solid">
        <fgColor rgb="FF111111"/>
        <bgColor rgb="FF111111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3" fontId="2" numFmtId="0" xfId="0" applyAlignment="1" applyFill="1" applyFont="1">
      <alignment shrinkToFit="0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shrinkToFit="0" wrapText="1"/>
    </xf>
    <xf borderId="0" fillId="4" fontId="5" numFmtId="0" xfId="0" applyAlignment="1" applyFill="1" applyFont="1">
      <alignment shrinkToFit="0" wrapText="1"/>
    </xf>
    <xf borderId="0" fillId="3" fontId="6" numFmtId="0" xfId="0" applyAlignment="1" applyFont="1">
      <alignment shrinkToFit="0" wrapText="1"/>
    </xf>
    <xf borderId="0" fillId="4" fontId="1" numFmtId="0" xfId="0" applyAlignment="1" applyFont="1">
      <alignment horizontal="center" shrinkToFit="0" vertical="center" wrapText="1"/>
    </xf>
    <xf borderId="0" fillId="4" fontId="1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0" fillId="0" fontId="3" numFmtId="4" xfId="0" applyAlignment="1" applyFont="1" applyNumberFormat="1">
      <alignment shrinkToFit="0" wrapText="1"/>
    </xf>
    <xf borderId="0" fillId="0" fontId="7" numFmtId="0" xfId="0" applyFont="1"/>
    <xf borderId="0" fillId="0" fontId="3" numFmtId="1" xfId="0" applyAlignment="1" applyFont="1" applyNumberFormat="1">
      <alignment shrinkToFit="0" wrapText="1"/>
    </xf>
    <xf borderId="0" fillId="0" fontId="3" numFmtId="164" xfId="0" applyAlignment="1" applyFont="1" applyNumberFormat="1">
      <alignment shrinkToFit="0" wrapText="1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b/>
        <color rgb="FF991B1B"/>
      </font>
      <fill>
        <patternFill patternType="solid">
          <fgColor rgb="FFFEE2E2"/>
          <bgColor rgb="FFFEE2E2"/>
        </patternFill>
      </fill>
      <border/>
    </dxf>
    <dxf>
      <font>
        <b/>
        <color rgb="FF92400E"/>
      </font>
      <fill>
        <patternFill patternType="solid">
          <fgColor rgb="FFFEF3C7"/>
          <bgColor rgb="FFFEF3C7"/>
        </patternFill>
      </fill>
      <border/>
    </dxf>
    <dxf>
      <font>
        <b/>
        <color rgb="FF166534"/>
      </font>
      <fill>
        <patternFill patternType="solid">
          <fgColor rgb="FFDCFCE7"/>
          <bgColor rgb="FFDCFCE7"/>
        </patternFill>
      </fill>
      <border/>
    </dxf>
  </dxfs>
  <tableStyles count="4">
    <tableStyle count="3" pivot="0" name="Categories-style">
      <tableStyleElement dxfId="1" type="headerRow"/>
      <tableStyleElement dxfId="2" type="firstRowStripe"/>
      <tableStyleElement dxfId="3" type="secondRowStripe"/>
    </tableStyle>
    <tableStyle count="3" pivot="0" name="Products-style">
      <tableStyleElement dxfId="1" type="headerRow"/>
      <tableStyleElement dxfId="2" type="firstRowStripe"/>
      <tableStyleElement dxfId="3" type="secondRowStripe"/>
    </tableStyle>
    <tableStyle count="3" pivot="0" name="Attributes-style">
      <tableStyleElement dxfId="1" type="headerRow"/>
      <tableStyleElement dxfId="2" type="firstRowStripe"/>
      <tableStyleElement dxfId="3" type="secondRowStripe"/>
    </tableStyle>
    <tableStyle count="3" pivot="0" name="Inventory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22" displayName="Table_1" name="Table_1" id="1">
  <tableColumns count="12">
    <tableColumn name="category_id" id="1"/>
    <tableColumn name="parent_id" id="2"/>
    <tableColumn name="level" id="3"/>
    <tableColumn name="slug" id="4"/>
    <tableColumn name="name_bg" id="5"/>
    <tableColumn name="menu_label" id="6"/>
    <tableColumn name="short_description" id="7"/>
    <tableColumn name="hero_title" id="8"/>
    <tableColumn name="hero_subtitle" id="9"/>
    <tableColumn name="image" id="10"/>
    <tableColumn name="sort_order" id="11"/>
    <tableColumn name="is_active" id="12"/>
  </tableColumns>
  <tableStyleInfo name="Categories-style" showColumnStripes="0" showFirstColumn="1" showLastColumn="1" showRowStripes="1"/>
</table>
</file>

<file path=xl/tables/table2.xml><?xml version="1.0" encoding="utf-8"?>
<table xmlns="http://schemas.openxmlformats.org/spreadsheetml/2006/main" ref="A1:Y15" displayName="Table_2" name="Table_2" id="2">
  <tableColumns count="25">
    <tableColumn name="product_id" id="1"/>
    <tableColumn name="sku" id="2"/>
    <tableColumn name="category_slug" id="3"/>
    <tableColumn name="subcategory_slug" id="4"/>
    <tableColumn name="name_bg" id="5"/>
    <tableColumn name="short_desc_bg" id="6"/>
    <tableColumn name="material" id="7"/>
    <tableColumn name="color" id="8"/>
    <tableColumn name="size" id="9"/>
    <tableColumn name="unit" id="10"/>
    <tableColumn name="price_bgn" id="11"/>
    <tableColumn name="promo_price_bgn" id="12"/>
    <tableColumn name="stock_qty" id="13"/>
    <tableColumn name="min_stock" id="14"/>
    <tableColumn name="stock_status" id="15"/>
    <tableColumn name="is_featured" id="16"/>
    <tableColumn name="is_active" id="17"/>
    <tableColumn name="image_1" id="18"/>
    <tableColumn name="image_2" id="19"/>
    <tableColumn name="image_3" id="20"/>
    <tableColumn name="spec_pdf" id="21"/>
    <tableColumn name="seo_title" id="22"/>
    <tableColumn name="seo_description" id="23"/>
    <tableColumn name="slug" id="24"/>
    <tableColumn name="sort_order" id="25"/>
  </tableColumns>
  <tableStyleInfo name="Products-style" showColumnStripes="0" showFirstColumn="1" showLastColumn="1" showRowStripes="1"/>
</table>
</file>

<file path=xl/tables/table3.xml><?xml version="1.0" encoding="utf-8"?>
<table xmlns="http://schemas.openxmlformats.org/spreadsheetml/2006/main" ref="A1:G21" displayName="Table_3" name="Table_3" id="3">
  <tableColumns count="7">
    <tableColumn name="attribute_id" id="1"/>
    <tableColumn name="sku" id="2"/>
    <tableColumn name="attribute_group" id="3"/>
    <tableColumn name="attribute_name_bg" id="4"/>
    <tableColumn name="attribute_value_bg" id="5"/>
    <tableColumn name="is_filterable" id="6"/>
    <tableColumn name="sort_order" id="7"/>
  </tableColumns>
  <tableStyleInfo name="Attributes-style" showColumnStripes="0" showFirstColumn="1" showLastColumn="1" showRowStripes="1"/>
</table>
</file>

<file path=xl/tables/table4.xml><?xml version="1.0" encoding="utf-8"?>
<table xmlns="http://schemas.openxmlformats.org/spreadsheetml/2006/main" ref="A1:I15" displayName="Table_4" name="Table_4" id="4">
  <tableColumns count="9">
    <tableColumn name="sku" id="1"/>
    <tableColumn name="product_name" id="2"/>
    <tableColumn name="on_hand" id="3"/>
    <tableColumn name="reserved" id="4"/>
    <tableColumn name="available" id="5"/>
    <tableColumn name="min_stock" id="6"/>
    <tableColumn name="status" id="7"/>
    <tableColumn name="last_update" id="8"/>
    <tableColumn name="notes" id="9"/>
  </tableColumns>
  <tableStyleInfo name="Inventory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3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8.0"/>
    <col customWidth="1" min="3" max="8" width="22.0"/>
    <col customWidth="1" min="9" max="26" width="8.63"/>
  </cols>
  <sheetData>
    <row r="1" ht="25.5" customHeight="1">
      <c r="A1" s="1" t="s">
        <v>0</v>
      </c>
    </row>
    <row r="2" ht="48.0" customHeight="1">
      <c r="A2" s="2" t="s">
        <v>1</v>
      </c>
    </row>
    <row r="3">
      <c r="A3" s="3"/>
      <c r="B3" s="3"/>
      <c r="C3" s="3"/>
      <c r="D3" s="3"/>
      <c r="E3" s="3"/>
      <c r="F3" s="3"/>
      <c r="G3" s="3"/>
      <c r="H3" s="3"/>
    </row>
    <row r="4" ht="33.75" customHeight="1">
      <c r="A4" s="4" t="s">
        <v>2</v>
      </c>
      <c r="B4" s="3"/>
      <c r="C4" s="3"/>
      <c r="D4" s="5" t="s">
        <v>3</v>
      </c>
      <c r="E4" s="5" t="s">
        <v>3</v>
      </c>
      <c r="F4" s="5" t="s">
        <v>3</v>
      </c>
      <c r="G4" s="5" t="s">
        <v>3</v>
      </c>
      <c r="H4" s="5" t="s">
        <v>3</v>
      </c>
    </row>
    <row r="5" ht="33.75" customHeight="1">
      <c r="A5" s="4" t="s">
        <v>4</v>
      </c>
      <c r="B5" s="3"/>
      <c r="C5" s="3"/>
      <c r="D5" s="5" t="s">
        <v>3</v>
      </c>
      <c r="E5" s="5" t="s">
        <v>3</v>
      </c>
      <c r="F5" s="5" t="s">
        <v>3</v>
      </c>
      <c r="G5" s="5" t="s">
        <v>3</v>
      </c>
      <c r="H5" s="5" t="s">
        <v>3</v>
      </c>
    </row>
    <row r="6" ht="33.75" customHeight="1">
      <c r="A6" s="4" t="s">
        <v>5</v>
      </c>
      <c r="B6" s="3"/>
      <c r="C6" s="3"/>
      <c r="D6" s="5" t="s">
        <v>3</v>
      </c>
      <c r="E6" s="5" t="s">
        <v>3</v>
      </c>
      <c r="F6" s="5" t="s">
        <v>3</v>
      </c>
      <c r="G6" s="5" t="s">
        <v>3</v>
      </c>
      <c r="H6" s="5" t="s">
        <v>3</v>
      </c>
    </row>
    <row r="7" ht="33.75" customHeight="1">
      <c r="A7" s="4" t="s">
        <v>6</v>
      </c>
      <c r="B7" s="3"/>
      <c r="C7" s="3"/>
      <c r="D7" s="5" t="s">
        <v>3</v>
      </c>
      <c r="E7" s="5" t="s">
        <v>3</v>
      </c>
      <c r="F7" s="5" t="s">
        <v>3</v>
      </c>
      <c r="G7" s="5" t="s">
        <v>3</v>
      </c>
      <c r="H7" s="5" t="s">
        <v>3</v>
      </c>
    </row>
    <row r="8" ht="33.75" customHeight="1">
      <c r="A8" s="4" t="s">
        <v>7</v>
      </c>
      <c r="B8" s="3"/>
      <c r="C8" s="3"/>
      <c r="D8" s="5" t="s">
        <v>3</v>
      </c>
      <c r="E8" s="5" t="s">
        <v>3</v>
      </c>
      <c r="F8" s="5" t="s">
        <v>3</v>
      </c>
      <c r="G8" s="5" t="s">
        <v>3</v>
      </c>
      <c r="H8" s="5" t="s">
        <v>3</v>
      </c>
    </row>
    <row r="9" ht="33.75" customHeight="1">
      <c r="A9" s="4" t="s">
        <v>8</v>
      </c>
      <c r="B9" s="3"/>
      <c r="C9" s="3"/>
      <c r="D9" s="5" t="s">
        <v>3</v>
      </c>
      <c r="E9" s="5" t="s">
        <v>3</v>
      </c>
      <c r="F9" s="5" t="s">
        <v>3</v>
      </c>
      <c r="G9" s="5" t="s">
        <v>3</v>
      </c>
      <c r="H9" s="5" t="s">
        <v>3</v>
      </c>
    </row>
    <row r="10" ht="33.75" customHeight="1">
      <c r="A10" s="4" t="s">
        <v>9</v>
      </c>
      <c r="B10" s="3"/>
      <c r="C10" s="3"/>
      <c r="D10" s="5" t="s">
        <v>3</v>
      </c>
      <c r="E10" s="5" t="s">
        <v>3</v>
      </c>
      <c r="F10" s="5" t="s">
        <v>3</v>
      </c>
      <c r="G10" s="5" t="s">
        <v>3</v>
      </c>
      <c r="H10" s="5" t="s">
        <v>3</v>
      </c>
    </row>
    <row r="11">
      <c r="A11" s="3"/>
      <c r="B11" s="3"/>
      <c r="C11" s="3"/>
      <c r="D11" s="3"/>
      <c r="E11" s="3"/>
      <c r="F11" s="3"/>
      <c r="G11" s="3"/>
      <c r="H11" s="3"/>
    </row>
    <row r="12">
      <c r="A12" s="1" t="s">
        <v>10</v>
      </c>
    </row>
    <row r="13">
      <c r="A13" s="6" t="s">
        <v>11</v>
      </c>
      <c r="B13" s="6" t="s">
        <v>12</v>
      </c>
      <c r="C13" s="6" t="s">
        <v>13</v>
      </c>
      <c r="D13" s="3"/>
      <c r="E13" s="3"/>
      <c r="F13" s="3"/>
      <c r="G13" s="3"/>
      <c r="H13" s="3"/>
    </row>
    <row r="14">
      <c r="A14" s="3" t="s">
        <v>14</v>
      </c>
      <c r="B14" s="3" t="s">
        <v>15</v>
      </c>
      <c r="C14" s="3" t="s">
        <v>16</v>
      </c>
      <c r="D14" s="3"/>
      <c r="E14" s="3"/>
      <c r="F14" s="3"/>
      <c r="G14" s="3"/>
      <c r="H14" s="3"/>
    </row>
    <row r="15">
      <c r="A15" s="3" t="s">
        <v>17</v>
      </c>
      <c r="B15" s="3" t="s">
        <v>18</v>
      </c>
      <c r="C15" s="3" t="s">
        <v>19</v>
      </c>
      <c r="D15" s="3"/>
      <c r="E15" s="3"/>
      <c r="F15" s="3"/>
      <c r="G15" s="3"/>
      <c r="H15" s="3"/>
    </row>
    <row r="16">
      <c r="A16" s="3" t="s">
        <v>20</v>
      </c>
      <c r="B16" s="3" t="s">
        <v>21</v>
      </c>
      <c r="C16" s="3" t="s">
        <v>22</v>
      </c>
      <c r="D16" s="3"/>
      <c r="E16" s="3"/>
      <c r="F16" s="3"/>
      <c r="G16" s="3"/>
      <c r="H16" s="3"/>
    </row>
    <row r="17">
      <c r="A17" s="3" t="s">
        <v>23</v>
      </c>
      <c r="B17" s="3" t="s">
        <v>24</v>
      </c>
      <c r="C17" s="3" t="s">
        <v>25</v>
      </c>
      <c r="D17" s="3"/>
      <c r="E17" s="3"/>
      <c r="F17" s="3"/>
      <c r="G17" s="3"/>
      <c r="H17" s="3"/>
    </row>
    <row r="18">
      <c r="A18" s="3" t="s">
        <v>26</v>
      </c>
      <c r="B18" s="3" t="s">
        <v>27</v>
      </c>
      <c r="C18" s="3" t="s">
        <v>28</v>
      </c>
      <c r="D18" s="3"/>
      <c r="E18" s="3"/>
      <c r="F18" s="3"/>
      <c r="G18" s="3"/>
      <c r="H18" s="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H1"/>
    <mergeCell ref="A2:H2"/>
    <mergeCell ref="A12:H12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8.63"/>
  </cols>
  <sheetData>
    <row r="1">
      <c r="A1" s="7" t="s">
        <v>29</v>
      </c>
      <c r="B1" s="7" t="s">
        <v>30</v>
      </c>
      <c r="C1" s="7" t="s">
        <v>31</v>
      </c>
    </row>
    <row r="2">
      <c r="A2" s="3" t="s">
        <v>32</v>
      </c>
      <c r="B2" s="3" t="s">
        <v>33</v>
      </c>
      <c r="C2" s="3" t="s">
        <v>34</v>
      </c>
    </row>
    <row r="3">
      <c r="A3" s="3" t="s">
        <v>35</v>
      </c>
      <c r="B3" s="3" t="s">
        <v>36</v>
      </c>
      <c r="C3" s="3" t="s">
        <v>37</v>
      </c>
    </row>
    <row r="4">
      <c r="A4" s="3"/>
      <c r="B4" s="3" t="s">
        <v>38</v>
      </c>
      <c r="C4" s="3" t="s">
        <v>39</v>
      </c>
    </row>
    <row r="5">
      <c r="A5" s="3"/>
      <c r="B5" s="3" t="s">
        <v>40</v>
      </c>
      <c r="C5" s="3" t="s">
        <v>41</v>
      </c>
    </row>
    <row r="6">
      <c r="A6" s="3"/>
      <c r="B6" s="3" t="s">
        <v>42</v>
      </c>
      <c r="C6" s="3" t="s">
        <v>43</v>
      </c>
    </row>
    <row r="7">
      <c r="A7" s="3"/>
      <c r="B7" s="3" t="s">
        <v>44</v>
      </c>
      <c r="C7" s="3" t="s">
        <v>45</v>
      </c>
    </row>
    <row r="8">
      <c r="A8" s="3"/>
      <c r="B8" s="3"/>
      <c r="C8" s="3" t="s">
        <v>46</v>
      </c>
    </row>
    <row r="9">
      <c r="A9" s="3"/>
      <c r="B9" s="3"/>
      <c r="C9" s="3" t="s">
        <v>47</v>
      </c>
    </row>
    <row r="10">
      <c r="A10" s="3"/>
      <c r="B10" s="3"/>
      <c r="C10" s="3"/>
    </row>
    <row r="11">
      <c r="A11" s="3"/>
      <c r="B11" s="3"/>
      <c r="C11" s="3"/>
    </row>
    <row r="12">
      <c r="A12" s="3"/>
      <c r="B12" s="3"/>
      <c r="C12" s="3"/>
    </row>
    <row r="13">
      <c r="A13" s="3"/>
      <c r="B13" s="3"/>
      <c r="C13" s="3"/>
    </row>
    <row r="14">
      <c r="A14" s="3"/>
      <c r="B14" s="3"/>
      <c r="C14" s="3"/>
    </row>
    <row r="15">
      <c r="A15" s="3"/>
      <c r="B15" s="3"/>
      <c r="C15" s="3"/>
    </row>
    <row r="16">
      <c r="A16" s="3"/>
      <c r="B16" s="3"/>
      <c r="C16" s="3"/>
    </row>
    <row r="17">
      <c r="A17" s="3"/>
      <c r="B17" s="3"/>
      <c r="C17" s="3"/>
    </row>
    <row r="18">
      <c r="A18" s="3"/>
      <c r="B18" s="3"/>
      <c r="C18" s="3"/>
    </row>
    <row r="19">
      <c r="A19" s="3"/>
      <c r="B19" s="3"/>
      <c r="C19" s="3"/>
    </row>
    <row r="20">
      <c r="A20" s="3"/>
      <c r="B20" s="3"/>
      <c r="C20" s="3"/>
    </row>
    <row r="21" ht="15.75" customHeight="1">
      <c r="A21" s="3"/>
      <c r="B21" s="3"/>
      <c r="C21" s="3"/>
    </row>
    <row r="22" ht="15.75" customHeight="1">
      <c r="A22" s="3"/>
      <c r="B22" s="3"/>
      <c r="C22" s="3"/>
    </row>
    <row r="23" ht="15.75" customHeight="1">
      <c r="A23" s="3"/>
      <c r="B23" s="3"/>
      <c r="C23" s="3"/>
    </row>
    <row r="24" ht="15.75" customHeight="1">
      <c r="A24" s="3"/>
      <c r="B24" s="3"/>
      <c r="C24" s="3"/>
    </row>
    <row r="25" ht="15.75" customHeight="1">
      <c r="A25" s="3"/>
      <c r="B25" s="3"/>
      <c r="C25" s="3"/>
    </row>
    <row r="26" ht="15.75" customHeight="1">
      <c r="A26" s="3"/>
      <c r="B26" s="3"/>
      <c r="C26" s="3"/>
    </row>
    <row r="27" ht="15.75" customHeight="1">
      <c r="A27" s="3"/>
      <c r="B27" s="3"/>
      <c r="C27" s="3"/>
    </row>
    <row r="28" ht="15.75" customHeight="1">
      <c r="A28" s="3"/>
      <c r="B28" s="3"/>
      <c r="C28" s="3"/>
    </row>
    <row r="29" ht="15.75" customHeight="1">
      <c r="A29" s="3"/>
      <c r="B29" s="3"/>
      <c r="C29" s="3"/>
    </row>
    <row r="30" ht="15.75" customHeight="1">
      <c r="A30" s="3"/>
      <c r="B30" s="3"/>
      <c r="C30" s="3"/>
    </row>
    <row r="31" ht="15.75" customHeight="1">
      <c r="A31" s="3"/>
      <c r="B31" s="3"/>
      <c r="C31" s="3"/>
    </row>
    <row r="32" ht="15.75" customHeight="1">
      <c r="A32" s="3"/>
      <c r="B32" s="3"/>
      <c r="C32" s="3"/>
    </row>
    <row r="33" ht="15.75" customHeight="1">
      <c r="A33" s="3"/>
      <c r="B33" s="3"/>
      <c r="C33" s="3"/>
    </row>
    <row r="34" ht="15.75" customHeight="1">
      <c r="A34" s="3"/>
      <c r="B34" s="3"/>
      <c r="C34" s="3"/>
    </row>
    <row r="35" ht="15.75" customHeight="1">
      <c r="A35" s="3"/>
      <c r="B35" s="3"/>
      <c r="C35" s="3"/>
    </row>
    <row r="36" ht="15.75" customHeight="1">
      <c r="A36" s="3"/>
      <c r="B36" s="3"/>
      <c r="C36" s="3"/>
    </row>
    <row r="37" ht="15.75" customHeight="1">
      <c r="A37" s="3"/>
      <c r="B37" s="3"/>
      <c r="C37" s="3"/>
    </row>
    <row r="38" ht="15.75" customHeight="1">
      <c r="A38" s="3"/>
      <c r="B38" s="3"/>
      <c r="C38" s="3"/>
    </row>
    <row r="39" ht="15.75" customHeight="1">
      <c r="A39" s="3"/>
      <c r="B39" s="3"/>
      <c r="C39" s="3"/>
    </row>
    <row r="40" ht="15.75" customHeight="1">
      <c r="A40" s="3"/>
      <c r="B40" s="3"/>
      <c r="C40" s="3"/>
    </row>
    <row r="41" ht="15.75" customHeight="1">
      <c r="A41" s="3"/>
      <c r="B41" s="3"/>
      <c r="C41" s="3"/>
    </row>
    <row r="42" ht="15.75" customHeight="1">
      <c r="A42" s="3"/>
      <c r="B42" s="3"/>
      <c r="C42" s="3"/>
    </row>
    <row r="43" ht="15.75" customHeight="1">
      <c r="A43" s="3"/>
      <c r="B43" s="3"/>
      <c r="C43" s="3"/>
    </row>
    <row r="44" ht="15.75" customHeight="1">
      <c r="A44" s="3"/>
      <c r="B44" s="3"/>
      <c r="C44" s="3"/>
    </row>
    <row r="45" ht="15.75" customHeight="1">
      <c r="A45" s="3"/>
      <c r="B45" s="3"/>
      <c r="C45" s="3"/>
    </row>
    <row r="46" ht="15.75" customHeight="1">
      <c r="A46" s="3"/>
      <c r="B46" s="3"/>
      <c r="C46" s="3"/>
    </row>
    <row r="47" ht="15.75" customHeight="1">
      <c r="A47" s="3"/>
      <c r="B47" s="3"/>
      <c r="C47" s="3"/>
    </row>
    <row r="48" ht="15.75" customHeight="1">
      <c r="A48" s="3"/>
      <c r="B48" s="3"/>
      <c r="C48" s="3"/>
    </row>
    <row r="49" ht="15.75" customHeight="1">
      <c r="A49" s="3"/>
      <c r="B49" s="3"/>
      <c r="C49" s="3"/>
    </row>
    <row r="50" ht="15.75" customHeight="1">
      <c r="A50" s="3"/>
      <c r="B50" s="3"/>
      <c r="C50" s="3"/>
    </row>
    <row r="51" ht="15.75" customHeight="1">
      <c r="A51" s="3"/>
      <c r="B51" s="3"/>
      <c r="C51" s="3"/>
    </row>
    <row r="52" ht="15.75" customHeight="1">
      <c r="A52" s="3"/>
      <c r="B52" s="3"/>
      <c r="C52" s="3"/>
    </row>
    <row r="53" ht="15.75" customHeight="1">
      <c r="A53" s="3"/>
      <c r="B53" s="3"/>
      <c r="C53" s="3"/>
    </row>
    <row r="54" ht="15.75" customHeight="1">
      <c r="A54" s="3"/>
      <c r="B54" s="3"/>
      <c r="C54" s="3"/>
    </row>
    <row r="55" ht="15.75" customHeight="1">
      <c r="A55" s="3"/>
      <c r="B55" s="3"/>
      <c r="C55" s="3"/>
    </row>
    <row r="56" ht="15.75" customHeight="1">
      <c r="A56" s="3"/>
      <c r="B56" s="3"/>
      <c r="C56" s="3"/>
    </row>
    <row r="57" ht="15.75" customHeight="1">
      <c r="A57" s="3"/>
      <c r="B57" s="3"/>
      <c r="C57" s="3"/>
    </row>
    <row r="58" ht="15.75" customHeight="1">
      <c r="A58" s="3"/>
      <c r="B58" s="3"/>
      <c r="C58" s="3"/>
    </row>
    <row r="59" ht="15.75" customHeight="1">
      <c r="A59" s="3"/>
      <c r="B59" s="3"/>
      <c r="C59" s="3"/>
    </row>
    <row r="60" ht="15.75" customHeight="1">
      <c r="A60" s="3"/>
      <c r="B60" s="3"/>
      <c r="C60" s="3"/>
    </row>
    <row r="61" ht="15.75" customHeight="1">
      <c r="A61" s="3"/>
      <c r="B61" s="3"/>
      <c r="C61" s="3"/>
    </row>
    <row r="62" ht="15.75" customHeight="1">
      <c r="A62" s="3"/>
      <c r="B62" s="3"/>
      <c r="C62" s="3"/>
    </row>
    <row r="63" ht="15.75" customHeight="1">
      <c r="A63" s="3"/>
      <c r="B63" s="3"/>
      <c r="C63" s="3"/>
    </row>
    <row r="64" ht="15.75" customHeight="1">
      <c r="A64" s="3"/>
      <c r="B64" s="3"/>
      <c r="C64" s="3"/>
    </row>
    <row r="65" ht="15.75" customHeight="1">
      <c r="A65" s="3"/>
      <c r="B65" s="3"/>
      <c r="C65" s="3"/>
    </row>
    <row r="66" ht="15.75" customHeight="1">
      <c r="A66" s="3"/>
      <c r="B66" s="3"/>
      <c r="C66" s="3"/>
    </row>
    <row r="67" ht="15.75" customHeight="1">
      <c r="A67" s="3"/>
      <c r="B67" s="3"/>
      <c r="C67" s="3"/>
    </row>
    <row r="68" ht="15.75" customHeight="1">
      <c r="A68" s="3"/>
      <c r="B68" s="3"/>
      <c r="C68" s="3"/>
    </row>
    <row r="69" ht="15.75" customHeight="1">
      <c r="A69" s="3"/>
      <c r="B69" s="3"/>
      <c r="C69" s="3"/>
    </row>
    <row r="70" ht="15.75" customHeight="1">
      <c r="A70" s="3"/>
      <c r="B70" s="3"/>
      <c r="C70" s="3"/>
    </row>
    <row r="71" ht="15.75" customHeight="1">
      <c r="A71" s="3"/>
      <c r="B71" s="3"/>
      <c r="C71" s="3"/>
    </row>
    <row r="72" ht="15.75" customHeight="1">
      <c r="A72" s="3"/>
      <c r="B72" s="3"/>
      <c r="C72" s="3"/>
    </row>
    <row r="73" ht="15.75" customHeight="1">
      <c r="A73" s="3"/>
      <c r="B73" s="3"/>
      <c r="C73" s="3"/>
    </row>
    <row r="74" ht="15.75" customHeight="1">
      <c r="A74" s="3"/>
      <c r="B74" s="3"/>
      <c r="C74" s="3"/>
    </row>
    <row r="75" ht="15.75" customHeight="1">
      <c r="A75" s="3"/>
      <c r="B75" s="3"/>
      <c r="C75" s="3"/>
    </row>
    <row r="76" ht="15.75" customHeight="1">
      <c r="A76" s="3"/>
      <c r="B76" s="3"/>
      <c r="C76" s="3"/>
    </row>
    <row r="77" ht="15.75" customHeight="1">
      <c r="A77" s="3"/>
      <c r="B77" s="3"/>
      <c r="C77" s="3"/>
    </row>
    <row r="78" ht="15.75" customHeight="1">
      <c r="A78" s="3"/>
      <c r="B78" s="3"/>
      <c r="C78" s="3"/>
    </row>
    <row r="79" ht="15.75" customHeight="1">
      <c r="A79" s="3"/>
      <c r="B79" s="3"/>
      <c r="C79" s="3"/>
    </row>
    <row r="80" ht="15.75" customHeight="1">
      <c r="A80" s="3"/>
      <c r="B80" s="3"/>
      <c r="C80" s="3"/>
    </row>
    <row r="81" ht="15.75" customHeight="1">
      <c r="A81" s="3"/>
      <c r="B81" s="3"/>
      <c r="C81" s="3"/>
    </row>
    <row r="82" ht="15.75" customHeight="1">
      <c r="A82" s="3"/>
      <c r="B82" s="3"/>
      <c r="C82" s="3"/>
    </row>
    <row r="83" ht="15.75" customHeight="1">
      <c r="A83" s="3"/>
      <c r="B83" s="3"/>
      <c r="C83" s="3"/>
    </row>
    <row r="84" ht="15.75" customHeight="1">
      <c r="A84" s="3"/>
      <c r="B84" s="3"/>
      <c r="C84" s="3"/>
    </row>
    <row r="85" ht="15.75" customHeight="1">
      <c r="A85" s="3"/>
      <c r="B85" s="3"/>
      <c r="C85" s="3"/>
    </row>
    <row r="86" ht="15.75" customHeight="1">
      <c r="A86" s="3"/>
      <c r="B86" s="3"/>
      <c r="C86" s="3"/>
    </row>
    <row r="87" ht="15.75" customHeight="1">
      <c r="A87" s="3"/>
      <c r="B87" s="3"/>
      <c r="C87" s="3"/>
    </row>
    <row r="88" ht="15.75" customHeight="1">
      <c r="A88" s="3"/>
      <c r="B88" s="3"/>
      <c r="C88" s="3"/>
    </row>
    <row r="89" ht="15.75" customHeight="1">
      <c r="A89" s="3"/>
      <c r="B89" s="3"/>
      <c r="C89" s="3"/>
    </row>
    <row r="90" ht="15.75" customHeight="1">
      <c r="A90" s="3"/>
      <c r="B90" s="3"/>
      <c r="C90" s="3"/>
    </row>
    <row r="91" ht="15.75" customHeight="1">
      <c r="A91" s="3"/>
      <c r="B91" s="3"/>
      <c r="C91" s="3"/>
    </row>
    <row r="92" ht="15.75" customHeight="1">
      <c r="A92" s="3"/>
      <c r="B92" s="3"/>
      <c r="C92" s="3"/>
    </row>
    <row r="93" ht="15.75" customHeight="1">
      <c r="A93" s="3"/>
      <c r="B93" s="3"/>
      <c r="C93" s="3"/>
    </row>
    <row r="94" ht="15.75" customHeight="1">
      <c r="A94" s="3"/>
      <c r="B94" s="3"/>
      <c r="C94" s="3"/>
    </row>
    <row r="95" ht="15.75" customHeight="1">
      <c r="A95" s="3"/>
      <c r="B95" s="3"/>
      <c r="C95" s="3"/>
    </row>
    <row r="96" ht="15.75" customHeight="1">
      <c r="A96" s="3"/>
      <c r="B96" s="3"/>
      <c r="C96" s="3"/>
    </row>
    <row r="97" ht="15.75" customHeight="1">
      <c r="A97" s="3"/>
      <c r="B97" s="3"/>
      <c r="C97" s="3"/>
    </row>
    <row r="98" ht="15.75" customHeight="1">
      <c r="A98" s="3"/>
      <c r="B98" s="3"/>
      <c r="C98" s="3"/>
    </row>
    <row r="99" ht="15.75" customHeight="1">
      <c r="A99" s="3"/>
      <c r="B99" s="3"/>
      <c r="C99" s="3"/>
    </row>
    <row r="100" ht="15.75" customHeight="1">
      <c r="A100" s="3"/>
      <c r="B100" s="3"/>
      <c r="C100" s="3"/>
    </row>
    <row r="101" ht="15.75" customHeight="1">
      <c r="A101" s="3"/>
      <c r="B101" s="3"/>
      <c r="C101" s="3"/>
    </row>
    <row r="102" ht="15.75" customHeight="1">
      <c r="A102" s="3"/>
      <c r="B102" s="3"/>
      <c r="C102" s="3"/>
    </row>
    <row r="103" ht="15.75" customHeight="1">
      <c r="A103" s="3"/>
      <c r="B103" s="3"/>
      <c r="C103" s="3"/>
    </row>
    <row r="104" ht="15.75" customHeight="1">
      <c r="A104" s="3"/>
      <c r="B104" s="3"/>
      <c r="C104" s="3"/>
    </row>
    <row r="105" ht="15.75" customHeight="1">
      <c r="A105" s="3"/>
      <c r="B105" s="3"/>
      <c r="C105" s="3"/>
    </row>
    <row r="106" ht="15.75" customHeight="1">
      <c r="A106" s="3"/>
      <c r="B106" s="3"/>
      <c r="C106" s="3"/>
    </row>
    <row r="107" ht="15.75" customHeight="1">
      <c r="A107" s="3"/>
      <c r="B107" s="3"/>
      <c r="C107" s="3"/>
    </row>
    <row r="108" ht="15.75" customHeight="1">
      <c r="A108" s="3"/>
      <c r="B108" s="3"/>
      <c r="C108" s="3"/>
    </row>
    <row r="109" ht="15.75" customHeight="1">
      <c r="A109" s="3"/>
      <c r="B109" s="3"/>
      <c r="C109" s="3"/>
    </row>
    <row r="110" ht="15.75" customHeight="1">
      <c r="A110" s="3"/>
      <c r="B110" s="3"/>
      <c r="C110" s="3"/>
    </row>
    <row r="111" ht="15.75" customHeight="1">
      <c r="A111" s="3"/>
      <c r="B111" s="3"/>
      <c r="C111" s="3"/>
    </row>
    <row r="112" ht="15.75" customHeight="1">
      <c r="A112" s="3"/>
      <c r="B112" s="3"/>
      <c r="C112" s="3"/>
    </row>
    <row r="113" ht="15.75" customHeight="1">
      <c r="A113" s="3"/>
      <c r="B113" s="3"/>
      <c r="C113" s="3"/>
    </row>
    <row r="114" ht="15.75" customHeight="1">
      <c r="A114" s="3"/>
      <c r="B114" s="3"/>
      <c r="C114" s="3"/>
    </row>
    <row r="115" ht="15.75" customHeight="1">
      <c r="A115" s="3"/>
      <c r="B115" s="3"/>
      <c r="C115" s="3"/>
    </row>
    <row r="116" ht="15.75" customHeight="1">
      <c r="A116" s="3"/>
      <c r="B116" s="3"/>
      <c r="C116" s="3"/>
    </row>
    <row r="117" ht="15.75" customHeight="1">
      <c r="A117" s="3"/>
      <c r="B117" s="3"/>
      <c r="C117" s="3"/>
    </row>
    <row r="118" ht="15.75" customHeight="1">
      <c r="A118" s="3"/>
      <c r="B118" s="3"/>
      <c r="C118" s="3"/>
    </row>
    <row r="119" ht="15.75" customHeight="1">
      <c r="A119" s="3"/>
      <c r="B119" s="3"/>
      <c r="C119" s="3"/>
    </row>
    <row r="120" ht="15.75" customHeight="1">
      <c r="A120" s="3"/>
      <c r="B120" s="3"/>
      <c r="C120" s="3"/>
    </row>
    <row r="121" ht="15.75" customHeight="1">
      <c r="A121" s="3"/>
      <c r="B121" s="3"/>
      <c r="C121" s="3"/>
    </row>
    <row r="122" ht="15.75" customHeight="1">
      <c r="A122" s="3"/>
      <c r="B122" s="3"/>
      <c r="C122" s="3"/>
    </row>
    <row r="123" ht="15.75" customHeight="1">
      <c r="A123" s="3"/>
      <c r="B123" s="3"/>
      <c r="C123" s="3"/>
    </row>
    <row r="124" ht="15.75" customHeight="1">
      <c r="A124" s="3"/>
      <c r="B124" s="3"/>
      <c r="C124" s="3"/>
    </row>
    <row r="125" ht="15.75" customHeight="1">
      <c r="A125" s="3"/>
      <c r="B125" s="3"/>
      <c r="C125" s="3"/>
    </row>
    <row r="126" ht="15.75" customHeight="1">
      <c r="A126" s="3"/>
      <c r="B126" s="3"/>
      <c r="C126" s="3"/>
    </row>
    <row r="127" ht="15.75" customHeight="1">
      <c r="A127" s="3"/>
      <c r="B127" s="3"/>
      <c r="C127" s="3"/>
    </row>
    <row r="128" ht="15.75" customHeight="1">
      <c r="A128" s="3"/>
      <c r="B128" s="3"/>
      <c r="C128" s="3"/>
    </row>
    <row r="129" ht="15.75" customHeight="1">
      <c r="A129" s="3"/>
      <c r="B129" s="3"/>
      <c r="C129" s="3"/>
    </row>
    <row r="130" ht="15.75" customHeight="1">
      <c r="A130" s="3"/>
      <c r="B130" s="3"/>
      <c r="C130" s="3"/>
    </row>
    <row r="131" ht="15.75" customHeight="1">
      <c r="A131" s="3"/>
      <c r="B131" s="3"/>
      <c r="C131" s="3"/>
    </row>
    <row r="132" ht="15.75" customHeight="1">
      <c r="A132" s="3"/>
      <c r="B132" s="3"/>
      <c r="C132" s="3"/>
    </row>
    <row r="133" ht="15.75" customHeight="1">
      <c r="A133" s="3"/>
      <c r="B133" s="3"/>
      <c r="C133" s="3"/>
    </row>
    <row r="134" ht="15.75" customHeight="1">
      <c r="A134" s="3"/>
      <c r="B134" s="3"/>
      <c r="C134" s="3"/>
    </row>
    <row r="135" ht="15.75" customHeight="1">
      <c r="A135" s="3"/>
      <c r="B135" s="3"/>
      <c r="C135" s="3"/>
    </row>
    <row r="136" ht="15.75" customHeight="1">
      <c r="A136" s="3"/>
      <c r="B136" s="3"/>
      <c r="C136" s="3"/>
    </row>
    <row r="137" ht="15.75" customHeight="1">
      <c r="A137" s="3"/>
      <c r="B137" s="3"/>
      <c r="C137" s="3"/>
    </row>
    <row r="138" ht="15.75" customHeight="1">
      <c r="A138" s="3"/>
      <c r="B138" s="3"/>
      <c r="C138" s="3"/>
    </row>
    <row r="139" ht="15.75" customHeight="1">
      <c r="A139" s="3"/>
      <c r="B139" s="3"/>
      <c r="C139" s="3"/>
    </row>
    <row r="140" ht="15.75" customHeight="1">
      <c r="A140" s="3"/>
      <c r="B140" s="3"/>
      <c r="C140" s="3"/>
    </row>
    <row r="141" ht="15.75" customHeight="1">
      <c r="A141" s="3"/>
      <c r="B141" s="3"/>
      <c r="C141" s="3"/>
    </row>
    <row r="142" ht="15.75" customHeight="1">
      <c r="A142" s="3"/>
      <c r="B142" s="3"/>
      <c r="C142" s="3"/>
    </row>
    <row r="143" ht="15.75" customHeight="1">
      <c r="A143" s="3"/>
      <c r="B143" s="3"/>
      <c r="C143" s="3"/>
    </row>
    <row r="144" ht="15.75" customHeight="1">
      <c r="A144" s="3"/>
      <c r="B144" s="3"/>
      <c r="C144" s="3"/>
    </row>
    <row r="145" ht="15.75" customHeight="1">
      <c r="A145" s="3"/>
      <c r="B145" s="3"/>
      <c r="C145" s="3"/>
    </row>
    <row r="146" ht="15.75" customHeight="1">
      <c r="A146" s="3"/>
      <c r="B146" s="3"/>
      <c r="C146" s="3"/>
    </row>
    <row r="147" ht="15.75" customHeight="1">
      <c r="A147" s="3"/>
      <c r="B147" s="3"/>
      <c r="C147" s="3"/>
    </row>
    <row r="148" ht="15.75" customHeight="1">
      <c r="A148" s="3"/>
      <c r="B148" s="3"/>
      <c r="C148" s="3"/>
    </row>
    <row r="149" ht="15.75" customHeight="1">
      <c r="A149" s="3"/>
      <c r="B149" s="3"/>
      <c r="C149" s="3"/>
    </row>
    <row r="150" ht="15.75" customHeight="1">
      <c r="A150" s="3"/>
      <c r="B150" s="3"/>
      <c r="C150" s="3"/>
    </row>
    <row r="151" ht="15.75" customHeight="1">
      <c r="A151" s="3"/>
      <c r="B151" s="3"/>
      <c r="C151" s="3"/>
    </row>
    <row r="152" ht="15.75" customHeight="1">
      <c r="A152" s="3"/>
      <c r="B152" s="3"/>
      <c r="C152" s="3"/>
    </row>
    <row r="153" ht="15.75" customHeight="1">
      <c r="A153" s="3"/>
      <c r="B153" s="3"/>
      <c r="C153" s="3"/>
    </row>
    <row r="154" ht="15.75" customHeight="1">
      <c r="A154" s="3"/>
      <c r="B154" s="3"/>
      <c r="C154" s="3"/>
    </row>
    <row r="155" ht="15.75" customHeight="1">
      <c r="A155" s="3"/>
      <c r="B155" s="3"/>
      <c r="C155" s="3"/>
    </row>
    <row r="156" ht="15.75" customHeight="1">
      <c r="A156" s="3"/>
      <c r="B156" s="3"/>
      <c r="C156" s="3"/>
    </row>
    <row r="157" ht="15.75" customHeight="1">
      <c r="A157" s="3"/>
      <c r="B157" s="3"/>
      <c r="C157" s="3"/>
    </row>
    <row r="158" ht="15.75" customHeight="1">
      <c r="A158" s="3"/>
      <c r="B158" s="3"/>
      <c r="C158" s="3"/>
    </row>
    <row r="159" ht="15.75" customHeight="1">
      <c r="A159" s="3"/>
      <c r="B159" s="3"/>
      <c r="C159" s="3"/>
    </row>
    <row r="160" ht="15.75" customHeight="1">
      <c r="A160" s="3"/>
      <c r="B160" s="3"/>
      <c r="C160" s="3"/>
    </row>
    <row r="161" ht="15.75" customHeight="1">
      <c r="A161" s="3"/>
      <c r="B161" s="3"/>
      <c r="C161" s="3"/>
    </row>
    <row r="162" ht="15.75" customHeight="1">
      <c r="A162" s="3"/>
      <c r="B162" s="3"/>
      <c r="C162" s="3"/>
    </row>
    <row r="163" ht="15.75" customHeight="1">
      <c r="A163" s="3"/>
      <c r="B163" s="3"/>
      <c r="C163" s="3"/>
    </row>
    <row r="164" ht="15.75" customHeight="1">
      <c r="A164" s="3"/>
      <c r="B164" s="3"/>
      <c r="C164" s="3"/>
    </row>
    <row r="165" ht="15.75" customHeight="1">
      <c r="A165" s="3"/>
      <c r="B165" s="3"/>
      <c r="C165" s="3"/>
    </row>
    <row r="166" ht="15.75" customHeight="1">
      <c r="A166" s="3"/>
      <c r="B166" s="3"/>
      <c r="C166" s="3"/>
    </row>
    <row r="167" ht="15.75" customHeight="1">
      <c r="A167" s="3"/>
      <c r="B167" s="3"/>
      <c r="C167" s="3"/>
    </row>
    <row r="168" ht="15.75" customHeight="1">
      <c r="A168" s="3"/>
      <c r="B168" s="3"/>
      <c r="C168" s="3"/>
    </row>
    <row r="169" ht="15.75" customHeight="1">
      <c r="A169" s="3"/>
      <c r="B169" s="3"/>
      <c r="C169" s="3"/>
    </row>
    <row r="170" ht="15.75" customHeight="1">
      <c r="A170" s="3"/>
      <c r="B170" s="3"/>
      <c r="C170" s="3"/>
    </row>
    <row r="171" ht="15.75" customHeight="1">
      <c r="A171" s="3"/>
      <c r="B171" s="3"/>
      <c r="C171" s="3"/>
    </row>
    <row r="172" ht="15.75" customHeight="1">
      <c r="A172" s="3"/>
      <c r="B172" s="3"/>
      <c r="C172" s="3"/>
    </row>
    <row r="173" ht="15.75" customHeight="1">
      <c r="A173" s="3"/>
      <c r="B173" s="3"/>
      <c r="C173" s="3"/>
    </row>
    <row r="174" ht="15.75" customHeight="1">
      <c r="A174" s="3"/>
      <c r="B174" s="3"/>
      <c r="C174" s="3"/>
    </row>
    <row r="175" ht="15.75" customHeight="1">
      <c r="A175" s="3"/>
      <c r="B175" s="3"/>
      <c r="C175" s="3"/>
    </row>
    <row r="176" ht="15.75" customHeight="1">
      <c r="A176" s="3"/>
      <c r="B176" s="3"/>
      <c r="C176" s="3"/>
    </row>
    <row r="177" ht="15.75" customHeight="1">
      <c r="A177" s="3"/>
      <c r="B177" s="3"/>
      <c r="C177" s="3"/>
    </row>
    <row r="178" ht="15.75" customHeight="1">
      <c r="A178" s="3"/>
      <c r="B178" s="3"/>
      <c r="C178" s="3"/>
    </row>
    <row r="179" ht="15.75" customHeight="1">
      <c r="A179" s="3"/>
      <c r="B179" s="3"/>
      <c r="C179" s="3"/>
    </row>
    <row r="180" ht="15.75" customHeight="1">
      <c r="A180" s="3"/>
      <c r="B180" s="3"/>
      <c r="C180" s="3"/>
    </row>
    <row r="181" ht="15.75" customHeight="1">
      <c r="A181" s="3"/>
      <c r="B181" s="3"/>
      <c r="C181" s="3"/>
    </row>
    <row r="182" ht="15.75" customHeight="1">
      <c r="A182" s="3"/>
      <c r="B182" s="3"/>
      <c r="C182" s="3"/>
    </row>
    <row r="183" ht="15.75" customHeight="1">
      <c r="A183" s="3"/>
      <c r="B183" s="3"/>
      <c r="C183" s="3"/>
    </row>
    <row r="184" ht="15.75" customHeight="1">
      <c r="A184" s="3"/>
      <c r="B184" s="3"/>
      <c r="C184" s="3"/>
    </row>
    <row r="185" ht="15.75" customHeight="1">
      <c r="A185" s="3"/>
      <c r="B185" s="3"/>
      <c r="C185" s="3"/>
    </row>
    <row r="186" ht="15.75" customHeight="1">
      <c r="A186" s="3"/>
      <c r="B186" s="3"/>
      <c r="C186" s="3"/>
    </row>
    <row r="187" ht="15.75" customHeight="1">
      <c r="A187" s="3"/>
      <c r="B187" s="3"/>
      <c r="C187" s="3"/>
    </row>
    <row r="188" ht="15.75" customHeight="1">
      <c r="A188" s="3"/>
      <c r="B188" s="3"/>
      <c r="C188" s="3"/>
    </row>
    <row r="189" ht="15.75" customHeight="1">
      <c r="A189" s="3"/>
      <c r="B189" s="3"/>
      <c r="C189" s="3"/>
    </row>
    <row r="190" ht="15.75" customHeight="1">
      <c r="A190" s="3"/>
      <c r="B190" s="3"/>
      <c r="C190" s="3"/>
    </row>
    <row r="191" ht="15.75" customHeight="1">
      <c r="A191" s="3"/>
      <c r="B191" s="3"/>
      <c r="C191" s="3"/>
    </row>
    <row r="192" ht="15.75" customHeight="1">
      <c r="A192" s="3"/>
      <c r="B192" s="3"/>
      <c r="C192" s="3"/>
    </row>
    <row r="193" ht="15.75" customHeight="1">
      <c r="A193" s="3"/>
      <c r="B193" s="3"/>
      <c r="C193" s="3"/>
    </row>
    <row r="194" ht="15.75" customHeight="1">
      <c r="A194" s="3"/>
      <c r="B194" s="3"/>
      <c r="C194" s="3"/>
    </row>
    <row r="195" ht="15.75" customHeight="1">
      <c r="A195" s="3"/>
      <c r="B195" s="3"/>
      <c r="C195" s="3"/>
    </row>
    <row r="196" ht="15.75" customHeight="1">
      <c r="A196" s="3"/>
      <c r="B196" s="3"/>
      <c r="C196" s="3"/>
    </row>
    <row r="197" ht="15.75" customHeight="1">
      <c r="A197" s="3"/>
      <c r="B197" s="3"/>
      <c r="C197" s="3"/>
    </row>
    <row r="198" ht="15.75" customHeight="1">
      <c r="A198" s="3"/>
      <c r="B198" s="3"/>
      <c r="C198" s="3"/>
    </row>
    <row r="199" ht="15.75" customHeight="1">
      <c r="A199" s="3"/>
      <c r="B199" s="3"/>
      <c r="C199" s="3"/>
    </row>
    <row r="200" ht="15.75" customHeight="1">
      <c r="A200" s="3"/>
      <c r="B200" s="3"/>
      <c r="C200" s="3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6.0"/>
    <col customWidth="1" min="3" max="3" width="8.0"/>
    <col customWidth="1" min="4" max="4" width="18.0"/>
    <col customWidth="1" min="5" max="5" width="26.0"/>
    <col customWidth="1" min="6" max="6" width="20.0"/>
    <col customWidth="1" min="7" max="7" width="34.0"/>
    <col customWidth="1" min="8" max="8" width="28.0"/>
    <col customWidth="1" min="9" max="9" width="34.0"/>
    <col customWidth="1" min="10" max="10" width="24.0"/>
    <col customWidth="1" min="11" max="12" width="10.0"/>
    <col customWidth="1" min="13" max="26" width="8.63"/>
  </cols>
  <sheetData>
    <row r="1">
      <c r="A1" s="8" t="s">
        <v>48</v>
      </c>
      <c r="B1" s="8" t="s">
        <v>49</v>
      </c>
      <c r="C1" s="8" t="s">
        <v>50</v>
      </c>
      <c r="D1" s="8" t="s">
        <v>51</v>
      </c>
      <c r="E1" s="8" t="s">
        <v>52</v>
      </c>
      <c r="F1" s="8" t="s">
        <v>53</v>
      </c>
      <c r="G1" s="8" t="s">
        <v>54</v>
      </c>
      <c r="H1" s="8" t="s">
        <v>55</v>
      </c>
      <c r="I1" s="8" t="s">
        <v>56</v>
      </c>
      <c r="J1" s="8" t="s">
        <v>57</v>
      </c>
      <c r="K1" s="8" t="s">
        <v>58</v>
      </c>
      <c r="L1" s="8" t="s">
        <v>59</v>
      </c>
    </row>
    <row r="2">
      <c r="A2" s="9" t="s">
        <v>60</v>
      </c>
      <c r="B2" s="9"/>
      <c r="C2" s="9">
        <v>1.0</v>
      </c>
      <c r="D2" s="9" t="s">
        <v>61</v>
      </c>
      <c r="E2" s="9" t="s">
        <v>62</v>
      </c>
      <c r="F2" s="9" t="s">
        <v>62</v>
      </c>
      <c r="G2" s="9" t="s">
        <v>63</v>
      </c>
      <c r="H2" s="9" t="s">
        <v>64</v>
      </c>
      <c r="I2" s="9" t="s">
        <v>65</v>
      </c>
      <c r="J2" s="9" t="s">
        <v>66</v>
      </c>
      <c r="K2" s="9">
        <v>1.0</v>
      </c>
      <c r="L2" s="9" t="s">
        <v>32</v>
      </c>
    </row>
    <row r="3">
      <c r="A3" s="9" t="s">
        <v>67</v>
      </c>
      <c r="B3" s="9"/>
      <c r="C3" s="9">
        <v>1.0</v>
      </c>
      <c r="D3" s="9" t="s">
        <v>68</v>
      </c>
      <c r="E3" s="9" t="s">
        <v>69</v>
      </c>
      <c r="F3" s="9" t="s">
        <v>69</v>
      </c>
      <c r="G3" s="9" t="s">
        <v>70</v>
      </c>
      <c r="H3" s="9" t="s">
        <v>71</v>
      </c>
      <c r="I3" s="9" t="s">
        <v>72</v>
      </c>
      <c r="J3" s="9" t="s">
        <v>73</v>
      </c>
      <c r="K3" s="9">
        <v>2.0</v>
      </c>
      <c r="L3" s="9" t="s">
        <v>32</v>
      </c>
    </row>
    <row r="4">
      <c r="A4" s="9" t="s">
        <v>74</v>
      </c>
      <c r="B4" s="9"/>
      <c r="C4" s="9">
        <v>1.0</v>
      </c>
      <c r="D4" s="9" t="s">
        <v>75</v>
      </c>
      <c r="E4" s="9" t="s">
        <v>76</v>
      </c>
      <c r="F4" s="9" t="s">
        <v>77</v>
      </c>
      <c r="G4" s="9" t="s">
        <v>78</v>
      </c>
      <c r="H4" s="9" t="s">
        <v>79</v>
      </c>
      <c r="I4" s="9" t="s">
        <v>80</v>
      </c>
      <c r="J4" s="9" t="s">
        <v>81</v>
      </c>
      <c r="K4" s="9">
        <v>3.0</v>
      </c>
      <c r="L4" s="9" t="s">
        <v>32</v>
      </c>
    </row>
    <row r="5">
      <c r="A5" s="9" t="s">
        <v>82</v>
      </c>
      <c r="B5" s="9"/>
      <c r="C5" s="9">
        <v>1.0</v>
      </c>
      <c r="D5" s="9" t="s">
        <v>83</v>
      </c>
      <c r="E5" s="9" t="s">
        <v>84</v>
      </c>
      <c r="F5" s="9" t="s">
        <v>85</v>
      </c>
      <c r="G5" s="9" t="s">
        <v>86</v>
      </c>
      <c r="H5" s="9" t="s">
        <v>87</v>
      </c>
      <c r="I5" s="9" t="s">
        <v>88</v>
      </c>
      <c r="J5" s="9" t="s">
        <v>89</v>
      </c>
      <c r="K5" s="9">
        <v>4.0</v>
      </c>
      <c r="L5" s="9" t="s">
        <v>32</v>
      </c>
    </row>
    <row r="6">
      <c r="A6" s="9" t="s">
        <v>90</v>
      </c>
      <c r="B6" s="9"/>
      <c r="C6" s="9">
        <v>1.0</v>
      </c>
      <c r="D6" s="9" t="s">
        <v>91</v>
      </c>
      <c r="E6" s="9" t="s">
        <v>92</v>
      </c>
      <c r="F6" s="9" t="s">
        <v>92</v>
      </c>
      <c r="G6" s="9" t="s">
        <v>93</v>
      </c>
      <c r="H6" s="9" t="s">
        <v>94</v>
      </c>
      <c r="I6" s="9" t="s">
        <v>95</v>
      </c>
      <c r="J6" s="9" t="s">
        <v>96</v>
      </c>
      <c r="K6" s="9">
        <v>5.0</v>
      </c>
      <c r="L6" s="9" t="s">
        <v>32</v>
      </c>
    </row>
    <row r="7">
      <c r="A7" s="9" t="s">
        <v>97</v>
      </c>
      <c r="B7" s="9"/>
      <c r="C7" s="9">
        <v>1.0</v>
      </c>
      <c r="D7" s="9" t="s">
        <v>98</v>
      </c>
      <c r="E7" s="9" t="s">
        <v>99</v>
      </c>
      <c r="F7" s="9" t="s">
        <v>99</v>
      </c>
      <c r="G7" s="9" t="s">
        <v>100</v>
      </c>
      <c r="H7" s="9" t="s">
        <v>101</v>
      </c>
      <c r="I7" s="9" t="s">
        <v>102</v>
      </c>
      <c r="J7" s="9" t="s">
        <v>103</v>
      </c>
      <c r="K7" s="9">
        <v>6.0</v>
      </c>
      <c r="L7" s="9" t="s">
        <v>32</v>
      </c>
    </row>
    <row r="8">
      <c r="A8" s="9" t="s">
        <v>104</v>
      </c>
      <c r="B8" s="9"/>
      <c r="C8" s="9">
        <v>1.0</v>
      </c>
      <c r="D8" s="9" t="s">
        <v>105</v>
      </c>
      <c r="E8" s="9" t="s">
        <v>106</v>
      </c>
      <c r="F8" s="9" t="s">
        <v>106</v>
      </c>
      <c r="G8" s="9" t="s">
        <v>107</v>
      </c>
      <c r="H8" s="9" t="s">
        <v>108</v>
      </c>
      <c r="I8" s="9" t="s">
        <v>109</v>
      </c>
      <c r="J8" s="9" t="s">
        <v>110</v>
      </c>
      <c r="K8" s="9">
        <v>7.0</v>
      </c>
      <c r="L8" s="9" t="s">
        <v>32</v>
      </c>
    </row>
    <row r="9">
      <c r="A9" s="9" t="s">
        <v>111</v>
      </c>
      <c r="B9" s="9" t="s">
        <v>60</v>
      </c>
      <c r="C9" s="9">
        <v>2.0</v>
      </c>
      <c r="D9" s="9" t="s">
        <v>112</v>
      </c>
      <c r="E9" s="9" t="s">
        <v>113</v>
      </c>
      <c r="F9" s="9" t="s">
        <v>114</v>
      </c>
      <c r="G9" s="9" t="s">
        <v>115</v>
      </c>
      <c r="H9" s="9"/>
      <c r="I9" s="9"/>
      <c r="J9" s="9" t="s">
        <v>116</v>
      </c>
      <c r="K9" s="9">
        <v>10.0</v>
      </c>
      <c r="L9" s="9" t="s">
        <v>32</v>
      </c>
    </row>
    <row r="10">
      <c r="A10" s="9" t="s">
        <v>117</v>
      </c>
      <c r="B10" s="9" t="s">
        <v>60</v>
      </c>
      <c r="C10" s="9">
        <v>2.0</v>
      </c>
      <c r="D10" s="9" t="s">
        <v>118</v>
      </c>
      <c r="E10" s="9" t="s">
        <v>119</v>
      </c>
      <c r="F10" s="9" t="s">
        <v>120</v>
      </c>
      <c r="G10" s="9" t="s">
        <v>121</v>
      </c>
      <c r="H10" s="9"/>
      <c r="I10" s="9"/>
      <c r="J10" s="9" t="s">
        <v>66</v>
      </c>
      <c r="K10" s="9">
        <v>11.0</v>
      </c>
      <c r="L10" s="9" t="s">
        <v>32</v>
      </c>
    </row>
    <row r="11">
      <c r="A11" s="9" t="s">
        <v>122</v>
      </c>
      <c r="B11" s="9" t="s">
        <v>67</v>
      </c>
      <c r="C11" s="9">
        <v>2.0</v>
      </c>
      <c r="D11" s="9" t="s">
        <v>123</v>
      </c>
      <c r="E11" s="9" t="s">
        <v>124</v>
      </c>
      <c r="F11" s="9" t="s">
        <v>125</v>
      </c>
      <c r="G11" s="9" t="s">
        <v>126</v>
      </c>
      <c r="H11" s="9"/>
      <c r="I11" s="9"/>
      <c r="J11" s="9" t="s">
        <v>66</v>
      </c>
      <c r="K11" s="9">
        <v>12.0</v>
      </c>
      <c r="L11" s="9" t="s">
        <v>32</v>
      </c>
    </row>
    <row r="12">
      <c r="A12" s="9" t="s">
        <v>127</v>
      </c>
      <c r="B12" s="9" t="s">
        <v>67</v>
      </c>
      <c r="C12" s="9">
        <v>2.0</v>
      </c>
      <c r="D12" s="9" t="s">
        <v>128</v>
      </c>
      <c r="E12" s="9" t="s">
        <v>129</v>
      </c>
      <c r="F12" s="9" t="s">
        <v>130</v>
      </c>
      <c r="G12" s="9" t="s">
        <v>131</v>
      </c>
      <c r="H12" s="9"/>
      <c r="I12" s="9"/>
      <c r="J12" s="9" t="s">
        <v>132</v>
      </c>
      <c r="K12" s="9">
        <v>13.0</v>
      </c>
      <c r="L12" s="9" t="s">
        <v>32</v>
      </c>
    </row>
    <row r="13">
      <c r="A13" s="9" t="s">
        <v>133</v>
      </c>
      <c r="B13" s="9" t="s">
        <v>67</v>
      </c>
      <c r="C13" s="9">
        <v>2.0</v>
      </c>
      <c r="D13" s="9" t="s">
        <v>134</v>
      </c>
      <c r="E13" s="9" t="s">
        <v>135</v>
      </c>
      <c r="F13" s="9" t="s">
        <v>136</v>
      </c>
      <c r="G13" s="9" t="s">
        <v>137</v>
      </c>
      <c r="H13" s="9"/>
      <c r="I13" s="9"/>
      <c r="J13" s="9" t="s">
        <v>73</v>
      </c>
      <c r="K13" s="9">
        <v>14.0</v>
      </c>
      <c r="L13" s="9" t="s">
        <v>32</v>
      </c>
    </row>
    <row r="14">
      <c r="A14" s="9" t="s">
        <v>138</v>
      </c>
      <c r="B14" s="9" t="s">
        <v>67</v>
      </c>
      <c r="C14" s="9">
        <v>2.0</v>
      </c>
      <c r="D14" s="9" t="s">
        <v>139</v>
      </c>
      <c r="E14" s="9" t="s">
        <v>140</v>
      </c>
      <c r="F14" s="9" t="s">
        <v>141</v>
      </c>
      <c r="G14" s="9" t="s">
        <v>142</v>
      </c>
      <c r="H14" s="9"/>
      <c r="I14" s="9"/>
      <c r="J14" s="9" t="s">
        <v>73</v>
      </c>
      <c r="K14" s="9">
        <v>15.0</v>
      </c>
      <c r="L14" s="9" t="s">
        <v>32</v>
      </c>
    </row>
    <row r="15">
      <c r="A15" s="9" t="s">
        <v>143</v>
      </c>
      <c r="B15" s="9" t="s">
        <v>74</v>
      </c>
      <c r="C15" s="9">
        <v>2.0</v>
      </c>
      <c r="D15" s="9" t="s">
        <v>144</v>
      </c>
      <c r="E15" s="9" t="s">
        <v>145</v>
      </c>
      <c r="F15" s="9" t="s">
        <v>146</v>
      </c>
      <c r="G15" s="9" t="s">
        <v>147</v>
      </c>
      <c r="H15" s="9"/>
      <c r="I15" s="9"/>
      <c r="J15" s="9" t="s">
        <v>81</v>
      </c>
      <c r="K15" s="9">
        <v>16.0</v>
      </c>
      <c r="L15" s="9" t="s">
        <v>32</v>
      </c>
    </row>
    <row r="16">
      <c r="A16" s="9" t="s">
        <v>148</v>
      </c>
      <c r="B16" s="9" t="s">
        <v>74</v>
      </c>
      <c r="C16" s="9">
        <v>2.0</v>
      </c>
      <c r="D16" s="9" t="s">
        <v>149</v>
      </c>
      <c r="E16" s="9" t="s">
        <v>150</v>
      </c>
      <c r="F16" s="9" t="s">
        <v>151</v>
      </c>
      <c r="G16" s="9" t="s">
        <v>152</v>
      </c>
      <c r="H16" s="9"/>
      <c r="I16" s="9"/>
      <c r="J16" s="9" t="s">
        <v>81</v>
      </c>
      <c r="K16" s="9">
        <v>17.0</v>
      </c>
      <c r="L16" s="9" t="s">
        <v>32</v>
      </c>
    </row>
    <row r="17">
      <c r="A17" s="9" t="s">
        <v>153</v>
      </c>
      <c r="B17" s="9" t="s">
        <v>90</v>
      </c>
      <c r="C17" s="9">
        <v>2.0</v>
      </c>
      <c r="D17" s="9" t="s">
        <v>154</v>
      </c>
      <c r="E17" s="9" t="s">
        <v>155</v>
      </c>
      <c r="F17" s="9" t="s">
        <v>155</v>
      </c>
      <c r="G17" s="9" t="s">
        <v>156</v>
      </c>
      <c r="H17" s="9"/>
      <c r="I17" s="9"/>
      <c r="J17" s="9" t="s">
        <v>96</v>
      </c>
      <c r="K17" s="9">
        <v>18.0</v>
      </c>
      <c r="L17" s="9" t="s">
        <v>32</v>
      </c>
    </row>
    <row r="18">
      <c r="A18" s="9" t="s">
        <v>157</v>
      </c>
      <c r="B18" s="9" t="s">
        <v>90</v>
      </c>
      <c r="C18" s="9">
        <v>2.0</v>
      </c>
      <c r="D18" s="9" t="s">
        <v>158</v>
      </c>
      <c r="E18" s="9" t="s">
        <v>159</v>
      </c>
      <c r="F18" s="9" t="s">
        <v>160</v>
      </c>
      <c r="G18" s="9" t="s">
        <v>161</v>
      </c>
      <c r="H18" s="9"/>
      <c r="I18" s="9"/>
      <c r="J18" s="9" t="s">
        <v>96</v>
      </c>
      <c r="K18" s="9">
        <v>19.0</v>
      </c>
      <c r="L18" s="9" t="s">
        <v>32</v>
      </c>
    </row>
    <row r="19">
      <c r="A19" s="9" t="s">
        <v>162</v>
      </c>
      <c r="B19" s="9" t="s">
        <v>97</v>
      </c>
      <c r="C19" s="9">
        <v>2.0</v>
      </c>
      <c r="D19" s="9" t="s">
        <v>163</v>
      </c>
      <c r="E19" s="9" t="s">
        <v>164</v>
      </c>
      <c r="F19" s="9" t="s">
        <v>165</v>
      </c>
      <c r="G19" s="9" t="s">
        <v>166</v>
      </c>
      <c r="H19" s="9"/>
      <c r="I19" s="9"/>
      <c r="J19" s="9" t="s">
        <v>103</v>
      </c>
      <c r="K19" s="9">
        <v>20.0</v>
      </c>
      <c r="L19" s="9" t="s">
        <v>32</v>
      </c>
    </row>
    <row r="20">
      <c r="A20" s="9" t="s">
        <v>167</v>
      </c>
      <c r="B20" s="9" t="s">
        <v>104</v>
      </c>
      <c r="C20" s="9">
        <v>2.0</v>
      </c>
      <c r="D20" s="9" t="s">
        <v>168</v>
      </c>
      <c r="E20" s="9" t="s">
        <v>169</v>
      </c>
      <c r="F20" s="9" t="s">
        <v>170</v>
      </c>
      <c r="G20" s="9" t="s">
        <v>171</v>
      </c>
      <c r="H20" s="9"/>
      <c r="I20" s="9"/>
      <c r="J20" s="9" t="s">
        <v>110</v>
      </c>
      <c r="K20" s="9">
        <v>21.0</v>
      </c>
      <c r="L20" s="9" t="s">
        <v>32</v>
      </c>
    </row>
    <row r="21" ht="15.75" customHeight="1">
      <c r="A21" s="9" t="s">
        <v>172</v>
      </c>
      <c r="B21" s="9" t="s">
        <v>82</v>
      </c>
      <c r="C21" s="9">
        <v>2.0</v>
      </c>
      <c r="D21" s="9" t="s">
        <v>173</v>
      </c>
      <c r="E21" s="9" t="s">
        <v>174</v>
      </c>
      <c r="F21" s="9" t="s">
        <v>174</v>
      </c>
      <c r="G21" s="9" t="s">
        <v>175</v>
      </c>
      <c r="H21" s="9"/>
      <c r="I21" s="9"/>
      <c r="J21" s="9" t="s">
        <v>89</v>
      </c>
      <c r="K21" s="9">
        <v>22.0</v>
      </c>
      <c r="L21" s="9" t="s">
        <v>32</v>
      </c>
    </row>
    <row r="22" ht="15.75" customHeight="1">
      <c r="A22" s="9" t="s">
        <v>176</v>
      </c>
      <c r="B22" s="9" t="s">
        <v>82</v>
      </c>
      <c r="C22" s="9">
        <v>2.0</v>
      </c>
      <c r="D22" s="9" t="s">
        <v>177</v>
      </c>
      <c r="E22" s="9" t="s">
        <v>178</v>
      </c>
      <c r="F22" s="9" t="s">
        <v>178</v>
      </c>
      <c r="G22" s="9" t="s">
        <v>179</v>
      </c>
      <c r="H22" s="9"/>
      <c r="I22" s="9"/>
      <c r="J22" s="9" t="s">
        <v>89</v>
      </c>
      <c r="K22" s="9">
        <v>23.0</v>
      </c>
      <c r="L22" s="9" t="s">
        <v>32</v>
      </c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0"/>
    <col customWidth="1" min="2" max="2" width="18.0"/>
    <col customWidth="1" min="3" max="3" width="16.0"/>
    <col customWidth="1" min="4" max="4" width="18.0"/>
    <col customWidth="1" min="5" max="5" width="34.0"/>
    <col customWidth="1" min="6" max="6" width="38.0"/>
    <col customWidth="1" min="7" max="7" width="18.0"/>
    <col customWidth="1" min="8" max="8" width="14.0"/>
    <col customWidth="1" min="9" max="9" width="18.0"/>
    <col customWidth="1" min="10" max="10" width="10.0"/>
    <col customWidth="1" min="11" max="11" width="12.0"/>
    <col customWidth="1" min="12" max="12" width="14.0"/>
    <col customWidth="1" min="13" max="14" width="10.0"/>
    <col customWidth="1" min="15" max="15" width="16.0"/>
    <col customWidth="1" min="16" max="16" width="12.0"/>
    <col customWidth="1" min="17" max="17" width="10.0"/>
    <col customWidth="1" min="18" max="18" width="26.0"/>
    <col customWidth="1" min="19" max="21" width="24.0"/>
    <col customWidth="1" min="22" max="22" width="28.0"/>
    <col customWidth="1" min="23" max="23" width="36.0"/>
    <col customWidth="1" min="24" max="24" width="18.0"/>
    <col customWidth="1" min="25" max="25" width="10.0"/>
    <col customWidth="1" min="26" max="26" width="8.63"/>
  </cols>
  <sheetData>
    <row r="1">
      <c r="A1" s="8" t="s">
        <v>180</v>
      </c>
      <c r="B1" s="8" t="s">
        <v>181</v>
      </c>
      <c r="C1" s="8" t="s">
        <v>182</v>
      </c>
      <c r="D1" s="8" t="s">
        <v>183</v>
      </c>
      <c r="E1" s="8" t="s">
        <v>52</v>
      </c>
      <c r="F1" s="8" t="s">
        <v>184</v>
      </c>
      <c r="G1" s="8" t="s">
        <v>185</v>
      </c>
      <c r="H1" s="8" t="s">
        <v>186</v>
      </c>
      <c r="I1" s="8" t="s">
        <v>187</v>
      </c>
      <c r="J1" s="8" t="s">
        <v>188</v>
      </c>
      <c r="K1" s="8" t="s">
        <v>189</v>
      </c>
      <c r="L1" s="8" t="s">
        <v>190</v>
      </c>
      <c r="M1" s="8" t="s">
        <v>191</v>
      </c>
      <c r="N1" s="8" t="s">
        <v>192</v>
      </c>
      <c r="O1" s="8" t="s">
        <v>193</v>
      </c>
      <c r="P1" s="8" t="s">
        <v>194</v>
      </c>
      <c r="Q1" s="8" t="s">
        <v>59</v>
      </c>
      <c r="R1" s="8" t="s">
        <v>195</v>
      </c>
      <c r="S1" s="8" t="s">
        <v>196</v>
      </c>
      <c r="T1" s="8" t="s">
        <v>197</v>
      </c>
      <c r="U1" s="8" t="s">
        <v>198</v>
      </c>
      <c r="V1" s="8" t="s">
        <v>199</v>
      </c>
      <c r="W1" s="8" t="s">
        <v>200</v>
      </c>
      <c r="X1" s="8" t="s">
        <v>51</v>
      </c>
      <c r="Y1" s="8" t="s">
        <v>58</v>
      </c>
    </row>
    <row r="2">
      <c r="A2" s="9" t="s">
        <v>201</v>
      </c>
      <c r="B2" s="9" t="s">
        <v>202</v>
      </c>
      <c r="C2" s="9" t="s">
        <v>61</v>
      </c>
      <c r="D2" s="9" t="s">
        <v>112</v>
      </c>
      <c r="E2" s="9" t="s">
        <v>203</v>
      </c>
      <c r="F2" s="9" t="s">
        <v>204</v>
      </c>
      <c r="G2" s="9" t="s">
        <v>205</v>
      </c>
      <c r="H2" s="9" t="s">
        <v>206</v>
      </c>
      <c r="I2" s="9" t="s">
        <v>207</v>
      </c>
      <c r="J2" s="9" t="s">
        <v>33</v>
      </c>
      <c r="K2" s="10">
        <v>289.0</v>
      </c>
      <c r="L2" s="10">
        <v>0.0</v>
      </c>
      <c r="M2" s="9">
        <f>IFERROR(VLOOKUP(B2,Inventory!$A$2:$I$200,5,FALSE),0)</f>
        <v>16</v>
      </c>
      <c r="N2" s="9">
        <f>IFERROR(VLOOKUP(B2,Inventory!$A$2:$I$200,6,FALSE),0)</f>
        <v>4</v>
      </c>
      <c r="O2" s="9" t="str">
        <f t="shared" ref="O2:O15" si="1">IF(M2&lt;=0,"Изчерпан",IF(M2&lt;=N2,"Ниска наличност","В наличност"))</f>
        <v>В наличност</v>
      </c>
      <c r="P2" s="9" t="s">
        <v>32</v>
      </c>
      <c r="Q2" s="9" t="s">
        <v>32</v>
      </c>
      <c r="R2" s="9" t="s">
        <v>116</v>
      </c>
      <c r="S2" s="9" t="s">
        <v>116</v>
      </c>
      <c r="T2" s="9"/>
      <c r="U2" s="9"/>
      <c r="V2" s="9" t="s">
        <v>208</v>
      </c>
      <c r="W2" s="9" t="s">
        <v>209</v>
      </c>
      <c r="X2" s="9" t="str">
        <f t="shared" ref="X2:X15" si="2">LOWER(SUBSTITUTE(B2," ","-"))</f>
        <v>mrl-fnc-lam-001</v>
      </c>
      <c r="Y2" s="9">
        <v>1.0</v>
      </c>
    </row>
    <row r="3">
      <c r="A3" s="9" t="s">
        <v>210</v>
      </c>
      <c r="B3" s="9" t="s">
        <v>211</v>
      </c>
      <c r="C3" s="9" t="s">
        <v>61</v>
      </c>
      <c r="D3" s="9" t="s">
        <v>112</v>
      </c>
      <c r="E3" s="9" t="s">
        <v>212</v>
      </c>
      <c r="F3" s="9" t="s">
        <v>213</v>
      </c>
      <c r="G3" s="9" t="s">
        <v>205</v>
      </c>
      <c r="H3" s="9" t="s">
        <v>214</v>
      </c>
      <c r="I3" s="9" t="s">
        <v>215</v>
      </c>
      <c r="J3" s="9" t="s">
        <v>33</v>
      </c>
      <c r="K3" s="10">
        <v>349.0</v>
      </c>
      <c r="L3" s="10">
        <v>0.0</v>
      </c>
      <c r="M3" s="9">
        <f>IFERROR(VLOOKUP(B3,Inventory!$A$2:$I$200,5,FALSE),0)</f>
        <v>6</v>
      </c>
      <c r="N3" s="9">
        <f>IFERROR(VLOOKUP(B3,Inventory!$A$2:$I$200,6,FALSE),0)</f>
        <v>3</v>
      </c>
      <c r="O3" s="9" t="str">
        <f t="shared" si="1"/>
        <v>В наличност</v>
      </c>
      <c r="P3" s="9" t="s">
        <v>32</v>
      </c>
      <c r="Q3" s="9" t="s">
        <v>32</v>
      </c>
      <c r="R3" s="9" t="s">
        <v>116</v>
      </c>
      <c r="S3" s="9"/>
      <c r="T3" s="9"/>
      <c r="U3" s="9"/>
      <c r="V3" s="9" t="s">
        <v>216</v>
      </c>
      <c r="W3" s="9" t="s">
        <v>217</v>
      </c>
      <c r="X3" s="9" t="str">
        <f t="shared" si="2"/>
        <v>mrl-fnc-lam-002</v>
      </c>
      <c r="Y3" s="9">
        <v>2.0</v>
      </c>
    </row>
    <row r="4">
      <c r="A4" s="9" t="s">
        <v>218</v>
      </c>
      <c r="B4" s="9" t="s">
        <v>219</v>
      </c>
      <c r="C4" s="9" t="s">
        <v>68</v>
      </c>
      <c r="D4" s="9" t="s">
        <v>123</v>
      </c>
      <c r="E4" s="9" t="s">
        <v>220</v>
      </c>
      <c r="F4" s="9" t="s">
        <v>221</v>
      </c>
      <c r="G4" s="9" t="s">
        <v>222</v>
      </c>
      <c r="H4" s="9" t="s">
        <v>223</v>
      </c>
      <c r="I4" s="9" t="s">
        <v>224</v>
      </c>
      <c r="J4" s="9" t="s">
        <v>33</v>
      </c>
      <c r="K4" s="10">
        <v>58.5</v>
      </c>
      <c r="L4" s="10">
        <v>0.0</v>
      </c>
      <c r="M4" s="9">
        <f>IFERROR(VLOOKUP(B4,Inventory!$A$2:$I$200,5,FALSE),0)</f>
        <v>34</v>
      </c>
      <c r="N4" s="9">
        <f>IFERROR(VLOOKUP(B4,Inventory!$A$2:$I$200,6,FALSE),0)</f>
        <v>10</v>
      </c>
      <c r="O4" s="9" t="str">
        <f t="shared" si="1"/>
        <v>В наличност</v>
      </c>
      <c r="P4" s="9" t="s">
        <v>32</v>
      </c>
      <c r="Q4" s="9" t="s">
        <v>32</v>
      </c>
      <c r="R4" s="9" t="s">
        <v>66</v>
      </c>
      <c r="S4" s="9"/>
      <c r="T4" s="9"/>
      <c r="U4" s="9"/>
      <c r="V4" s="9" t="s">
        <v>225</v>
      </c>
      <c r="W4" s="9" t="s">
        <v>226</v>
      </c>
      <c r="X4" s="9" t="str">
        <f t="shared" si="2"/>
        <v>mrl-sys-pnl-001</v>
      </c>
      <c r="Y4" s="9">
        <v>3.0</v>
      </c>
    </row>
    <row r="5">
      <c r="A5" s="9" t="s">
        <v>227</v>
      </c>
      <c r="B5" s="9" t="s">
        <v>228</v>
      </c>
      <c r="C5" s="9" t="s">
        <v>68</v>
      </c>
      <c r="D5" s="9" t="s">
        <v>134</v>
      </c>
      <c r="E5" s="9" t="s">
        <v>229</v>
      </c>
      <c r="F5" s="9" t="s">
        <v>230</v>
      </c>
      <c r="G5" s="9" t="s">
        <v>205</v>
      </c>
      <c r="H5" s="9" t="s">
        <v>223</v>
      </c>
      <c r="I5" s="9" t="s">
        <v>231</v>
      </c>
      <c r="J5" s="9" t="s">
        <v>33</v>
      </c>
      <c r="K5" s="10">
        <v>24.9</v>
      </c>
      <c r="L5" s="10">
        <v>0.0</v>
      </c>
      <c r="M5" s="9">
        <f>IFERROR(VLOOKUP(B5,Inventory!$A$2:$I$200,5,FALSE),0)</f>
        <v>89</v>
      </c>
      <c r="N5" s="9">
        <f>IFERROR(VLOOKUP(B5,Inventory!$A$2:$I$200,6,FALSE),0)</f>
        <v>20</v>
      </c>
      <c r="O5" s="9" t="str">
        <f t="shared" si="1"/>
        <v>В наличност</v>
      </c>
      <c r="P5" s="9" t="s">
        <v>35</v>
      </c>
      <c r="Q5" s="9" t="s">
        <v>32</v>
      </c>
      <c r="R5" s="9" t="s">
        <v>73</v>
      </c>
      <c r="S5" s="9"/>
      <c r="T5" s="9"/>
      <c r="U5" s="9"/>
      <c r="V5" s="9" t="s">
        <v>232</v>
      </c>
      <c r="W5" s="9" t="s">
        <v>233</v>
      </c>
      <c r="X5" s="9" t="str">
        <f t="shared" si="2"/>
        <v>mrl-sys-post-001</v>
      </c>
      <c r="Y5" s="9">
        <v>4.0</v>
      </c>
    </row>
    <row r="6">
      <c r="A6" s="9" t="s">
        <v>234</v>
      </c>
      <c r="B6" s="9" t="s">
        <v>235</v>
      </c>
      <c r="C6" s="9" t="s">
        <v>68</v>
      </c>
      <c r="D6" s="9" t="s">
        <v>128</v>
      </c>
      <c r="E6" s="9" t="s">
        <v>236</v>
      </c>
      <c r="F6" s="9" t="s">
        <v>237</v>
      </c>
      <c r="G6" s="9" t="s">
        <v>222</v>
      </c>
      <c r="H6" s="9" t="s">
        <v>238</v>
      </c>
      <c r="I6" s="9" t="s">
        <v>239</v>
      </c>
      <c r="J6" s="9" t="s">
        <v>240</v>
      </c>
      <c r="K6" s="10">
        <v>96.0</v>
      </c>
      <c r="L6" s="10">
        <v>0.0</v>
      </c>
      <c r="M6" s="9">
        <f>IFERROR(VLOOKUP(B6,Inventory!$A$2:$I$200,5,FALSE),0)</f>
        <v>21</v>
      </c>
      <c r="N6" s="9">
        <f>IFERROR(VLOOKUP(B6,Inventory!$A$2:$I$200,6,FALSE),0)</f>
        <v>8</v>
      </c>
      <c r="O6" s="9" t="str">
        <f t="shared" si="1"/>
        <v>В наличност</v>
      </c>
      <c r="P6" s="9" t="s">
        <v>35</v>
      </c>
      <c r="Q6" s="9" t="s">
        <v>32</v>
      </c>
      <c r="R6" s="9" t="s">
        <v>132</v>
      </c>
      <c r="S6" s="9"/>
      <c r="T6" s="9"/>
      <c r="U6" s="9"/>
      <c r="V6" s="9" t="s">
        <v>241</v>
      </c>
      <c r="W6" s="9" t="s">
        <v>242</v>
      </c>
      <c r="X6" s="9" t="str">
        <f t="shared" si="2"/>
        <v>mrl-sys-msh-001</v>
      </c>
      <c r="Y6" s="9">
        <v>5.0</v>
      </c>
    </row>
    <row r="7">
      <c r="A7" s="9" t="s">
        <v>243</v>
      </c>
      <c r="B7" s="9" t="s">
        <v>244</v>
      </c>
      <c r="C7" s="9" t="s">
        <v>68</v>
      </c>
      <c r="D7" s="9" t="s">
        <v>139</v>
      </c>
      <c r="E7" s="9" t="s">
        <v>245</v>
      </c>
      <c r="F7" s="9" t="s">
        <v>246</v>
      </c>
      <c r="G7" s="9" t="s">
        <v>222</v>
      </c>
      <c r="H7" s="9" t="s">
        <v>206</v>
      </c>
      <c r="I7" s="9" t="s">
        <v>247</v>
      </c>
      <c r="J7" s="9" t="s">
        <v>40</v>
      </c>
      <c r="K7" s="10">
        <v>649.0</v>
      </c>
      <c r="L7" s="10">
        <v>0.0</v>
      </c>
      <c r="M7" s="9">
        <f>IFERROR(VLOOKUP(B7,Inventory!$A$2:$I$200,5,FALSE),0)</f>
        <v>2</v>
      </c>
      <c r="N7" s="9">
        <f>IFERROR(VLOOKUP(B7,Inventory!$A$2:$I$200,6,FALSE),0)</f>
        <v>2</v>
      </c>
      <c r="O7" s="9" t="str">
        <f t="shared" si="1"/>
        <v>Ниска наличност</v>
      </c>
      <c r="P7" s="9" t="s">
        <v>32</v>
      </c>
      <c r="Q7" s="9" t="s">
        <v>32</v>
      </c>
      <c r="R7" s="9" t="s">
        <v>73</v>
      </c>
      <c r="S7" s="9"/>
      <c r="T7" s="9"/>
      <c r="U7" s="9"/>
      <c r="V7" s="9" t="s">
        <v>248</v>
      </c>
      <c r="W7" s="9" t="s">
        <v>249</v>
      </c>
      <c r="X7" s="9" t="str">
        <f t="shared" si="2"/>
        <v>mrl-sys-gate-001</v>
      </c>
      <c r="Y7" s="9">
        <v>6.0</v>
      </c>
    </row>
    <row r="8">
      <c r="A8" s="9" t="s">
        <v>250</v>
      </c>
      <c r="B8" s="9" t="s">
        <v>251</v>
      </c>
      <c r="C8" s="9" t="s">
        <v>75</v>
      </c>
      <c r="D8" s="9" t="s">
        <v>144</v>
      </c>
      <c r="E8" s="9" t="s">
        <v>252</v>
      </c>
      <c r="F8" s="9" t="s">
        <v>253</v>
      </c>
      <c r="G8" s="9" t="s">
        <v>254</v>
      </c>
      <c r="H8" s="9" t="s">
        <v>255</v>
      </c>
      <c r="I8" s="9" t="s">
        <v>256</v>
      </c>
      <c r="J8" s="9" t="s">
        <v>33</v>
      </c>
      <c r="K8" s="10">
        <v>399.0</v>
      </c>
      <c r="L8" s="10">
        <v>0.0</v>
      </c>
      <c r="M8" s="9">
        <f>IFERROR(VLOOKUP(B8,Inventory!$A$2:$I$200,5,FALSE),0)</f>
        <v>12</v>
      </c>
      <c r="N8" s="9">
        <f>IFERROR(VLOOKUP(B8,Inventory!$A$2:$I$200,6,FALSE),0)</f>
        <v>4</v>
      </c>
      <c r="O8" s="9" t="str">
        <f t="shared" si="1"/>
        <v>В наличност</v>
      </c>
      <c r="P8" s="9" t="s">
        <v>32</v>
      </c>
      <c r="Q8" s="9" t="s">
        <v>32</v>
      </c>
      <c r="R8" s="9" t="s">
        <v>81</v>
      </c>
      <c r="S8" s="9"/>
      <c r="T8" s="9"/>
      <c r="U8" s="9"/>
      <c r="V8" s="9" t="s">
        <v>257</v>
      </c>
      <c r="W8" s="9" t="s">
        <v>258</v>
      </c>
      <c r="X8" s="9" t="str">
        <f t="shared" si="2"/>
        <v>mrl-dr-int-001</v>
      </c>
      <c r="Y8" s="9">
        <v>7.0</v>
      </c>
    </row>
    <row r="9">
      <c r="A9" s="9" t="s">
        <v>259</v>
      </c>
      <c r="B9" s="9" t="s">
        <v>260</v>
      </c>
      <c r="C9" s="9" t="s">
        <v>75</v>
      </c>
      <c r="D9" s="9" t="s">
        <v>149</v>
      </c>
      <c r="E9" s="9" t="s">
        <v>261</v>
      </c>
      <c r="F9" s="9" t="s">
        <v>262</v>
      </c>
      <c r="G9" s="9" t="s">
        <v>263</v>
      </c>
      <c r="H9" s="9" t="s">
        <v>264</v>
      </c>
      <c r="I9" s="9" t="s">
        <v>265</v>
      </c>
      <c r="J9" s="9" t="s">
        <v>33</v>
      </c>
      <c r="K9" s="10">
        <v>1189.0</v>
      </c>
      <c r="L9" s="10">
        <v>1049.0</v>
      </c>
      <c r="M9" s="9">
        <f>IFERROR(VLOOKUP(B9,Inventory!$A$2:$I$200,5,FALSE),0)</f>
        <v>3</v>
      </c>
      <c r="N9" s="9">
        <f>IFERROR(VLOOKUP(B9,Inventory!$A$2:$I$200,6,FALSE),0)</f>
        <v>2</v>
      </c>
      <c r="O9" s="9" t="str">
        <f t="shared" si="1"/>
        <v>В наличност</v>
      </c>
      <c r="P9" s="9" t="s">
        <v>32</v>
      </c>
      <c r="Q9" s="9" t="s">
        <v>32</v>
      </c>
      <c r="R9" s="9" t="s">
        <v>81</v>
      </c>
      <c r="S9" s="9"/>
      <c r="T9" s="9"/>
      <c r="U9" s="9"/>
      <c r="V9" s="9" t="s">
        <v>266</v>
      </c>
      <c r="W9" s="9" t="s">
        <v>267</v>
      </c>
      <c r="X9" s="9" t="str">
        <f t="shared" si="2"/>
        <v>mrl-dr-sec-001</v>
      </c>
      <c r="Y9" s="9">
        <v>8.0</v>
      </c>
    </row>
    <row r="10">
      <c r="A10" s="9" t="s">
        <v>268</v>
      </c>
      <c r="B10" s="9" t="s">
        <v>269</v>
      </c>
      <c r="C10" s="9" t="s">
        <v>91</v>
      </c>
      <c r="D10" s="9" t="s">
        <v>154</v>
      </c>
      <c r="E10" s="9" t="s">
        <v>270</v>
      </c>
      <c r="F10" s="9" t="s">
        <v>271</v>
      </c>
      <c r="G10" s="9" t="s">
        <v>155</v>
      </c>
      <c r="H10" s="9" t="s">
        <v>272</v>
      </c>
      <c r="I10" s="9" t="s">
        <v>273</v>
      </c>
      <c r="J10" s="9" t="s">
        <v>36</v>
      </c>
      <c r="K10" s="10">
        <v>42.9</v>
      </c>
      <c r="L10" s="10">
        <v>0.0</v>
      </c>
      <c r="M10" s="9">
        <f>IFERROR(VLOOKUP(B10,Inventory!$A$2:$I$200,5,FALSE),0)</f>
        <v>108</v>
      </c>
      <c r="N10" s="9">
        <f>IFERROR(VLOOKUP(B10,Inventory!$A$2:$I$200,6,FALSE),0)</f>
        <v>40</v>
      </c>
      <c r="O10" s="9" t="str">
        <f t="shared" si="1"/>
        <v>В наличност</v>
      </c>
      <c r="P10" s="9" t="s">
        <v>32</v>
      </c>
      <c r="Q10" s="9" t="s">
        <v>32</v>
      </c>
      <c r="R10" s="9" t="s">
        <v>96</v>
      </c>
      <c r="S10" s="9"/>
      <c r="T10" s="9"/>
      <c r="U10" s="9"/>
      <c r="V10" s="9" t="s">
        <v>274</v>
      </c>
      <c r="W10" s="9" t="s">
        <v>275</v>
      </c>
      <c r="X10" s="9" t="str">
        <f t="shared" si="2"/>
        <v>mrl-til-gr-001</v>
      </c>
      <c r="Y10" s="9">
        <v>9.0</v>
      </c>
    </row>
    <row r="11">
      <c r="A11" s="9" t="s">
        <v>276</v>
      </c>
      <c r="B11" s="9" t="s">
        <v>277</v>
      </c>
      <c r="C11" s="9" t="s">
        <v>91</v>
      </c>
      <c r="D11" s="9" t="s">
        <v>158</v>
      </c>
      <c r="E11" s="9" t="s">
        <v>278</v>
      </c>
      <c r="F11" s="9" t="s">
        <v>279</v>
      </c>
      <c r="G11" s="9" t="s">
        <v>280</v>
      </c>
      <c r="H11" s="9" t="s">
        <v>281</v>
      </c>
      <c r="I11" s="9" t="s">
        <v>282</v>
      </c>
      <c r="J11" s="9" t="s">
        <v>36</v>
      </c>
      <c r="K11" s="10">
        <v>48.5</v>
      </c>
      <c r="L11" s="10">
        <v>0.0</v>
      </c>
      <c r="M11" s="9">
        <f>IFERROR(VLOOKUP(B11,Inventory!$A$2:$I$200,5,FALSE),0)</f>
        <v>0</v>
      </c>
      <c r="N11" s="9">
        <f>IFERROR(VLOOKUP(B11,Inventory!$A$2:$I$200,6,FALSE),0)</f>
        <v>25</v>
      </c>
      <c r="O11" s="9" t="str">
        <f t="shared" si="1"/>
        <v>Изчерпан</v>
      </c>
      <c r="P11" s="9" t="s">
        <v>35</v>
      </c>
      <c r="Q11" s="9" t="s">
        <v>32</v>
      </c>
      <c r="R11" s="9" t="s">
        <v>96</v>
      </c>
      <c r="S11" s="9"/>
      <c r="T11" s="9"/>
      <c r="U11" s="9"/>
      <c r="V11" s="9" t="s">
        <v>283</v>
      </c>
      <c r="W11" s="9" t="s">
        <v>284</v>
      </c>
      <c r="X11" s="9" t="str">
        <f t="shared" si="2"/>
        <v>mrl-til-out-001</v>
      </c>
      <c r="Y11" s="9">
        <v>10.0</v>
      </c>
    </row>
    <row r="12">
      <c r="A12" s="9" t="s">
        <v>285</v>
      </c>
      <c r="B12" s="9" t="s">
        <v>286</v>
      </c>
      <c r="C12" s="9" t="s">
        <v>98</v>
      </c>
      <c r="D12" s="9" t="s">
        <v>163</v>
      </c>
      <c r="E12" s="9" t="s">
        <v>287</v>
      </c>
      <c r="F12" s="9" t="s">
        <v>288</v>
      </c>
      <c r="G12" s="9" t="s">
        <v>289</v>
      </c>
      <c r="H12" s="9" t="s">
        <v>290</v>
      </c>
      <c r="I12" s="9" t="s">
        <v>291</v>
      </c>
      <c r="J12" s="9" t="s">
        <v>33</v>
      </c>
      <c r="K12" s="10">
        <v>78.0</v>
      </c>
      <c r="L12" s="10">
        <v>0.0</v>
      </c>
      <c r="M12" s="9">
        <f>IFERROR(VLOOKUP(B12,Inventory!$A$2:$I$200,5,FALSE),0)</f>
        <v>18</v>
      </c>
      <c r="N12" s="9">
        <f>IFERROR(VLOOKUP(B12,Inventory!$A$2:$I$200,6,FALSE),0)</f>
        <v>6</v>
      </c>
      <c r="O12" s="9" t="str">
        <f t="shared" si="1"/>
        <v>В наличност</v>
      </c>
      <c r="P12" s="9" t="s">
        <v>35</v>
      </c>
      <c r="Q12" s="9" t="s">
        <v>32</v>
      </c>
      <c r="R12" s="9" t="s">
        <v>103</v>
      </c>
      <c r="S12" s="9"/>
      <c r="T12" s="9"/>
      <c r="U12" s="9"/>
      <c r="V12" s="9" t="s">
        <v>292</v>
      </c>
      <c r="W12" s="9" t="s">
        <v>293</v>
      </c>
      <c r="X12" s="9" t="str">
        <f t="shared" si="2"/>
        <v>mrl-grn-step-001</v>
      </c>
      <c r="Y12" s="9">
        <v>11.0</v>
      </c>
    </row>
    <row r="13">
      <c r="A13" s="9" t="s">
        <v>294</v>
      </c>
      <c r="B13" s="9" t="s">
        <v>295</v>
      </c>
      <c r="C13" s="9" t="s">
        <v>105</v>
      </c>
      <c r="D13" s="9" t="s">
        <v>168</v>
      </c>
      <c r="E13" s="9" t="s">
        <v>296</v>
      </c>
      <c r="F13" s="9" t="s">
        <v>297</v>
      </c>
      <c r="G13" s="9" t="s">
        <v>298</v>
      </c>
      <c r="H13" s="9" t="s">
        <v>299</v>
      </c>
      <c r="I13" s="9" t="s">
        <v>300</v>
      </c>
      <c r="J13" s="9" t="s">
        <v>36</v>
      </c>
      <c r="K13" s="10">
        <v>69.0</v>
      </c>
      <c r="L13" s="10">
        <v>0.0</v>
      </c>
      <c r="M13" s="9">
        <f>IFERROR(VLOOKUP(B13,Inventory!$A$2:$I$200,5,FALSE),0)</f>
        <v>51</v>
      </c>
      <c r="N13" s="9">
        <f>IFERROR(VLOOKUP(B13,Inventory!$A$2:$I$200,6,FALSE),0)</f>
        <v>15</v>
      </c>
      <c r="O13" s="9" t="str">
        <f t="shared" si="1"/>
        <v>В наличност</v>
      </c>
      <c r="P13" s="9" t="s">
        <v>32</v>
      </c>
      <c r="Q13" s="9" t="s">
        <v>32</v>
      </c>
      <c r="R13" s="9" t="s">
        <v>110</v>
      </c>
      <c r="S13" s="9"/>
      <c r="T13" s="9"/>
      <c r="U13" s="9"/>
      <c r="V13" s="9" t="s">
        <v>301</v>
      </c>
      <c r="W13" s="9" t="s">
        <v>302</v>
      </c>
      <c r="X13" s="9" t="str">
        <f t="shared" si="2"/>
        <v>mrl-stn-cld-001</v>
      </c>
      <c r="Y13" s="9">
        <v>12.0</v>
      </c>
    </row>
    <row r="14">
      <c r="A14" s="9" t="s">
        <v>303</v>
      </c>
      <c r="B14" s="9" t="s">
        <v>304</v>
      </c>
      <c r="C14" s="9" t="s">
        <v>83</v>
      </c>
      <c r="D14" s="9" t="s">
        <v>173</v>
      </c>
      <c r="E14" s="9" t="s">
        <v>305</v>
      </c>
      <c r="F14" s="9" t="s">
        <v>306</v>
      </c>
      <c r="G14" s="9" t="s">
        <v>307</v>
      </c>
      <c r="H14" s="9" t="s">
        <v>308</v>
      </c>
      <c r="I14" s="9" t="s">
        <v>309</v>
      </c>
      <c r="J14" s="9" t="s">
        <v>44</v>
      </c>
      <c r="K14" s="10">
        <v>18.9</v>
      </c>
      <c r="L14" s="10">
        <v>0.0</v>
      </c>
      <c r="M14" s="9">
        <f>IFERROR(VLOOKUP(B14,Inventory!$A$2:$I$200,5,FALSE),0)</f>
        <v>73</v>
      </c>
      <c r="N14" s="9">
        <f>IFERROR(VLOOKUP(B14,Inventory!$A$2:$I$200,6,FALSE),0)</f>
        <v>20</v>
      </c>
      <c r="O14" s="9" t="str">
        <f t="shared" si="1"/>
        <v>В наличност</v>
      </c>
      <c r="P14" s="9" t="s">
        <v>35</v>
      </c>
      <c r="Q14" s="9" t="s">
        <v>32</v>
      </c>
      <c r="R14" s="9" t="s">
        <v>89</v>
      </c>
      <c r="S14" s="9"/>
      <c r="T14" s="9"/>
      <c r="U14" s="9"/>
      <c r="V14" s="9" t="s">
        <v>310</v>
      </c>
      <c r="W14" s="9" t="s">
        <v>311</v>
      </c>
      <c r="X14" s="9" t="str">
        <f t="shared" si="2"/>
        <v>mrl-bld-mix-001</v>
      </c>
      <c r="Y14" s="9">
        <v>13.0</v>
      </c>
    </row>
    <row r="15">
      <c r="A15" s="9" t="s">
        <v>312</v>
      </c>
      <c r="B15" s="9" t="s">
        <v>313</v>
      </c>
      <c r="C15" s="9" t="s">
        <v>83</v>
      </c>
      <c r="D15" s="9" t="s">
        <v>177</v>
      </c>
      <c r="E15" s="9" t="s">
        <v>314</v>
      </c>
      <c r="F15" s="9" t="s">
        <v>315</v>
      </c>
      <c r="G15" s="9" t="s">
        <v>316</v>
      </c>
      <c r="H15" s="9" t="s">
        <v>317</v>
      </c>
      <c r="I15" s="9" t="s">
        <v>318</v>
      </c>
      <c r="J15" s="9" t="s">
        <v>33</v>
      </c>
      <c r="K15" s="10">
        <v>10.8</v>
      </c>
      <c r="L15" s="10">
        <v>0.0</v>
      </c>
      <c r="M15" s="9">
        <f>IFERROR(VLOOKUP(B15,Inventory!$A$2:$I$200,5,FALSE),0)</f>
        <v>30</v>
      </c>
      <c r="N15" s="9">
        <f>IFERROR(VLOOKUP(B15,Inventory!$A$2:$I$200,6,FALSE),0)</f>
        <v>12</v>
      </c>
      <c r="O15" s="9" t="str">
        <f t="shared" si="1"/>
        <v>В наличност</v>
      </c>
      <c r="P15" s="9" t="s">
        <v>35</v>
      </c>
      <c r="Q15" s="9" t="s">
        <v>32</v>
      </c>
      <c r="R15" s="9" t="s">
        <v>89</v>
      </c>
      <c r="S15" s="9"/>
      <c r="T15" s="9"/>
      <c r="U15" s="9"/>
      <c r="V15" s="9" t="s">
        <v>319</v>
      </c>
      <c r="W15" s="9" t="s">
        <v>320</v>
      </c>
      <c r="X15" s="9" t="str">
        <f t="shared" si="2"/>
        <v>mrl-bld-ins-001</v>
      </c>
      <c r="Y15" s="9">
        <v>14.0</v>
      </c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 ht="15.75" customHeight="1">
      <c r="C201" s="11"/>
      <c r="D201" s="11"/>
      <c r="J201" s="11"/>
      <c r="P201" s="11"/>
      <c r="Q201" s="11"/>
    </row>
    <row r="202" ht="15.75" customHeight="1">
      <c r="C202" s="11"/>
      <c r="D202" s="11"/>
      <c r="J202" s="11"/>
      <c r="P202" s="11"/>
      <c r="Q202" s="11"/>
    </row>
    <row r="203" ht="15.75" customHeight="1">
      <c r="C203" s="11"/>
      <c r="D203" s="11"/>
      <c r="J203" s="11"/>
      <c r="P203" s="11"/>
      <c r="Q203" s="11"/>
    </row>
    <row r="204" ht="15.75" customHeight="1">
      <c r="C204" s="11"/>
      <c r="D204" s="11"/>
      <c r="J204" s="11"/>
      <c r="P204" s="11"/>
      <c r="Q204" s="11"/>
    </row>
    <row r="205" ht="15.75" customHeight="1">
      <c r="C205" s="11"/>
      <c r="D205" s="11"/>
      <c r="J205" s="11"/>
      <c r="P205" s="11"/>
      <c r="Q205" s="11"/>
    </row>
    <row r="206" ht="15.75" customHeight="1">
      <c r="C206" s="11"/>
      <c r="D206" s="11"/>
      <c r="J206" s="11"/>
      <c r="P206" s="11"/>
      <c r="Q206" s="11"/>
    </row>
    <row r="207" ht="15.75" customHeight="1">
      <c r="C207" s="11"/>
      <c r="D207" s="11"/>
      <c r="J207" s="11"/>
      <c r="P207" s="11"/>
      <c r="Q207" s="11"/>
    </row>
    <row r="208" ht="15.75" customHeight="1">
      <c r="C208" s="11"/>
      <c r="D208" s="11"/>
      <c r="J208" s="11"/>
      <c r="P208" s="11"/>
      <c r="Q208" s="11"/>
    </row>
    <row r="209" ht="15.75" customHeight="1">
      <c r="C209" s="11"/>
      <c r="D209" s="11"/>
      <c r="J209" s="11"/>
      <c r="P209" s="11"/>
      <c r="Q209" s="11"/>
    </row>
    <row r="210" ht="15.75" customHeight="1">
      <c r="C210" s="11"/>
      <c r="D210" s="11"/>
      <c r="J210" s="11"/>
      <c r="P210" s="11"/>
      <c r="Q210" s="11"/>
    </row>
    <row r="211" ht="15.75" customHeight="1">
      <c r="C211" s="11"/>
      <c r="D211" s="11"/>
      <c r="J211" s="11"/>
      <c r="P211" s="11"/>
      <c r="Q211" s="11"/>
    </row>
    <row r="212" ht="15.75" customHeight="1">
      <c r="C212" s="11"/>
      <c r="D212" s="11"/>
      <c r="J212" s="11"/>
      <c r="P212" s="11"/>
      <c r="Q212" s="11"/>
    </row>
    <row r="213" ht="15.75" customHeight="1">
      <c r="C213" s="11"/>
      <c r="D213" s="11"/>
      <c r="J213" s="11"/>
      <c r="P213" s="11"/>
      <c r="Q213" s="11"/>
    </row>
    <row r="214" ht="15.75" customHeight="1">
      <c r="C214" s="11"/>
      <c r="D214" s="11"/>
      <c r="J214" s="11"/>
      <c r="P214" s="11"/>
      <c r="Q214" s="11"/>
    </row>
    <row r="215" ht="15.75" customHeight="1">
      <c r="C215" s="11"/>
      <c r="D215" s="11"/>
      <c r="J215" s="11"/>
      <c r="P215" s="11"/>
      <c r="Q215" s="11"/>
    </row>
    <row r="216" ht="15.75" customHeight="1">
      <c r="C216" s="11"/>
      <c r="D216" s="11"/>
      <c r="J216" s="11"/>
      <c r="P216" s="11"/>
      <c r="Q216" s="11"/>
    </row>
    <row r="217" ht="15.75" customHeight="1">
      <c r="C217" s="11"/>
      <c r="D217" s="11"/>
      <c r="J217" s="11"/>
      <c r="P217" s="11"/>
      <c r="Q217" s="11"/>
    </row>
    <row r="218" ht="15.75" customHeight="1">
      <c r="C218" s="11"/>
      <c r="D218" s="11"/>
      <c r="J218" s="11"/>
      <c r="P218" s="11"/>
      <c r="Q218" s="11"/>
    </row>
    <row r="219" ht="15.75" customHeight="1">
      <c r="C219" s="11"/>
      <c r="D219" s="11"/>
      <c r="J219" s="11"/>
      <c r="P219" s="11"/>
      <c r="Q219" s="11"/>
    </row>
    <row r="220" ht="15.75" customHeight="1">
      <c r="C220" s="11"/>
      <c r="D220" s="11"/>
      <c r="J220" s="11"/>
      <c r="P220" s="11"/>
      <c r="Q220" s="11"/>
    </row>
    <row r="221" ht="15.75" customHeight="1">
      <c r="C221" s="11"/>
      <c r="D221" s="11"/>
      <c r="J221" s="11"/>
      <c r="P221" s="11"/>
      <c r="Q221" s="11"/>
    </row>
    <row r="222" ht="15.75" customHeight="1">
      <c r="C222" s="11"/>
      <c r="D222" s="11"/>
      <c r="J222" s="11"/>
      <c r="P222" s="11"/>
      <c r="Q222" s="11"/>
    </row>
    <row r="223" ht="15.75" customHeight="1">
      <c r="C223" s="11"/>
      <c r="D223" s="11"/>
      <c r="J223" s="11"/>
      <c r="P223" s="11"/>
      <c r="Q223" s="11"/>
    </row>
    <row r="224" ht="15.75" customHeight="1">
      <c r="C224" s="11"/>
      <c r="D224" s="11"/>
      <c r="J224" s="11"/>
      <c r="P224" s="11"/>
      <c r="Q224" s="11"/>
    </row>
    <row r="225" ht="15.75" customHeight="1">
      <c r="C225" s="11"/>
      <c r="D225" s="11"/>
      <c r="J225" s="11"/>
      <c r="P225" s="11"/>
      <c r="Q225" s="11"/>
    </row>
    <row r="226" ht="15.75" customHeight="1">
      <c r="C226" s="11"/>
      <c r="D226" s="11"/>
      <c r="J226" s="11"/>
      <c r="P226" s="11"/>
      <c r="Q226" s="11"/>
    </row>
    <row r="227" ht="15.75" customHeight="1">
      <c r="C227" s="11"/>
      <c r="D227" s="11"/>
      <c r="J227" s="11"/>
      <c r="P227" s="11"/>
      <c r="Q227" s="11"/>
    </row>
    <row r="228" ht="15.75" customHeight="1">
      <c r="C228" s="11"/>
      <c r="D228" s="11"/>
      <c r="J228" s="11"/>
      <c r="P228" s="11"/>
      <c r="Q228" s="11"/>
    </row>
    <row r="229" ht="15.75" customHeight="1">
      <c r="C229" s="11"/>
      <c r="D229" s="11"/>
      <c r="J229" s="11"/>
      <c r="P229" s="11"/>
      <c r="Q229" s="11"/>
    </row>
    <row r="230" ht="15.75" customHeight="1">
      <c r="C230" s="11"/>
      <c r="D230" s="11"/>
      <c r="J230" s="11"/>
      <c r="P230" s="11"/>
      <c r="Q230" s="11"/>
    </row>
    <row r="231" ht="15.75" customHeight="1">
      <c r="C231" s="11"/>
      <c r="D231" s="11"/>
      <c r="J231" s="11"/>
      <c r="P231" s="11"/>
      <c r="Q231" s="11"/>
    </row>
    <row r="232" ht="15.75" customHeight="1">
      <c r="C232" s="11"/>
      <c r="D232" s="11"/>
      <c r="J232" s="11"/>
      <c r="P232" s="11"/>
      <c r="Q232" s="11"/>
    </row>
    <row r="233" ht="15.75" customHeight="1">
      <c r="C233" s="11"/>
      <c r="D233" s="11"/>
      <c r="J233" s="11"/>
      <c r="P233" s="11"/>
      <c r="Q233" s="11"/>
    </row>
    <row r="234" ht="15.75" customHeight="1">
      <c r="C234" s="11"/>
      <c r="D234" s="11"/>
      <c r="J234" s="11"/>
      <c r="P234" s="11"/>
      <c r="Q234" s="11"/>
    </row>
    <row r="235" ht="15.75" customHeight="1">
      <c r="C235" s="11"/>
      <c r="D235" s="11"/>
      <c r="J235" s="11"/>
      <c r="P235" s="11"/>
      <c r="Q235" s="11"/>
    </row>
    <row r="236" ht="15.75" customHeight="1">
      <c r="C236" s="11"/>
      <c r="D236" s="11"/>
      <c r="J236" s="11"/>
      <c r="P236" s="11"/>
      <c r="Q236" s="11"/>
    </row>
    <row r="237" ht="15.75" customHeight="1">
      <c r="C237" s="11"/>
      <c r="D237" s="11"/>
      <c r="J237" s="11"/>
      <c r="P237" s="11"/>
      <c r="Q237" s="11"/>
    </row>
    <row r="238" ht="15.75" customHeight="1">
      <c r="C238" s="11"/>
      <c r="D238" s="11"/>
      <c r="J238" s="11"/>
      <c r="P238" s="11"/>
      <c r="Q238" s="11"/>
    </row>
    <row r="239" ht="15.75" customHeight="1">
      <c r="C239" s="11"/>
      <c r="D239" s="11"/>
      <c r="J239" s="11"/>
      <c r="P239" s="11"/>
      <c r="Q239" s="11"/>
    </row>
    <row r="240" ht="15.75" customHeight="1">
      <c r="C240" s="11"/>
      <c r="D240" s="11"/>
      <c r="J240" s="11"/>
      <c r="P240" s="11"/>
      <c r="Q240" s="11"/>
    </row>
    <row r="241" ht="15.75" customHeight="1">
      <c r="C241" s="11"/>
      <c r="D241" s="11"/>
      <c r="J241" s="11"/>
      <c r="P241" s="11"/>
      <c r="Q241" s="11"/>
    </row>
    <row r="242" ht="15.75" customHeight="1">
      <c r="C242" s="11"/>
      <c r="D242" s="11"/>
      <c r="J242" s="11"/>
      <c r="P242" s="11"/>
      <c r="Q242" s="11"/>
    </row>
    <row r="243" ht="15.75" customHeight="1">
      <c r="C243" s="11"/>
      <c r="D243" s="11"/>
      <c r="J243" s="11"/>
      <c r="P243" s="11"/>
      <c r="Q243" s="11"/>
    </row>
    <row r="244" ht="15.75" customHeight="1">
      <c r="C244" s="11"/>
      <c r="D244" s="11"/>
      <c r="J244" s="11"/>
      <c r="P244" s="11"/>
      <c r="Q244" s="11"/>
    </row>
    <row r="245" ht="15.75" customHeight="1">
      <c r="C245" s="11"/>
      <c r="D245" s="11"/>
      <c r="J245" s="11"/>
      <c r="P245" s="11"/>
      <c r="Q245" s="11"/>
    </row>
    <row r="246" ht="15.75" customHeight="1">
      <c r="C246" s="11"/>
      <c r="D246" s="11"/>
      <c r="J246" s="11"/>
      <c r="P246" s="11"/>
      <c r="Q246" s="11"/>
    </row>
    <row r="247" ht="15.75" customHeight="1">
      <c r="C247" s="11"/>
      <c r="D247" s="11"/>
      <c r="J247" s="11"/>
      <c r="P247" s="11"/>
      <c r="Q247" s="11"/>
    </row>
    <row r="248" ht="15.75" customHeight="1">
      <c r="C248" s="11"/>
      <c r="D248" s="11"/>
      <c r="J248" s="11"/>
      <c r="P248" s="11"/>
      <c r="Q248" s="11"/>
    </row>
    <row r="249" ht="15.75" customHeight="1">
      <c r="C249" s="11"/>
      <c r="D249" s="11"/>
      <c r="J249" s="11"/>
      <c r="P249" s="11"/>
      <c r="Q249" s="11"/>
    </row>
    <row r="250" ht="15.75" customHeight="1">
      <c r="C250" s="11"/>
      <c r="D250" s="11"/>
      <c r="J250" s="11"/>
      <c r="P250" s="11"/>
      <c r="Q250" s="11"/>
    </row>
    <row r="251" ht="15.75" customHeight="1">
      <c r="C251" s="11"/>
      <c r="D251" s="11"/>
      <c r="J251" s="11"/>
      <c r="P251" s="11"/>
      <c r="Q251" s="11"/>
    </row>
    <row r="252" ht="15.75" customHeight="1">
      <c r="C252" s="11"/>
      <c r="D252" s="11"/>
      <c r="J252" s="11"/>
      <c r="P252" s="11"/>
      <c r="Q252" s="11"/>
    </row>
    <row r="253" ht="15.75" customHeight="1">
      <c r="C253" s="11"/>
      <c r="D253" s="11"/>
      <c r="J253" s="11"/>
      <c r="P253" s="11"/>
      <c r="Q253" s="11"/>
    </row>
    <row r="254" ht="15.75" customHeight="1">
      <c r="C254" s="11"/>
      <c r="D254" s="11"/>
      <c r="J254" s="11"/>
      <c r="P254" s="11"/>
      <c r="Q254" s="11"/>
    </row>
    <row r="255" ht="15.75" customHeight="1">
      <c r="C255" s="11"/>
      <c r="D255" s="11"/>
      <c r="J255" s="11"/>
      <c r="P255" s="11"/>
      <c r="Q255" s="11"/>
    </row>
    <row r="256" ht="15.75" customHeight="1">
      <c r="C256" s="11"/>
      <c r="D256" s="11"/>
      <c r="J256" s="11"/>
      <c r="P256" s="11"/>
      <c r="Q256" s="11"/>
    </row>
    <row r="257" ht="15.75" customHeight="1">
      <c r="C257" s="11"/>
      <c r="D257" s="11"/>
      <c r="J257" s="11"/>
      <c r="P257" s="11"/>
      <c r="Q257" s="11"/>
    </row>
    <row r="258" ht="15.75" customHeight="1">
      <c r="C258" s="11"/>
      <c r="D258" s="11"/>
      <c r="J258" s="11"/>
      <c r="P258" s="11"/>
      <c r="Q258" s="11"/>
    </row>
    <row r="259" ht="15.75" customHeight="1">
      <c r="C259" s="11"/>
      <c r="D259" s="11"/>
      <c r="J259" s="11"/>
      <c r="P259" s="11"/>
      <c r="Q259" s="11"/>
    </row>
    <row r="260" ht="15.75" customHeight="1">
      <c r="C260" s="11"/>
      <c r="D260" s="11"/>
      <c r="J260" s="11"/>
      <c r="P260" s="11"/>
      <c r="Q260" s="11"/>
    </row>
    <row r="261" ht="15.75" customHeight="1">
      <c r="C261" s="11"/>
      <c r="D261" s="11"/>
      <c r="J261" s="11"/>
      <c r="P261" s="11"/>
      <c r="Q261" s="11"/>
    </row>
    <row r="262" ht="15.75" customHeight="1">
      <c r="C262" s="11"/>
      <c r="D262" s="11"/>
      <c r="J262" s="11"/>
      <c r="P262" s="11"/>
      <c r="Q262" s="11"/>
    </row>
    <row r="263" ht="15.75" customHeight="1">
      <c r="C263" s="11"/>
      <c r="D263" s="11"/>
      <c r="J263" s="11"/>
      <c r="P263" s="11"/>
      <c r="Q263" s="11"/>
    </row>
    <row r="264" ht="15.75" customHeight="1">
      <c r="C264" s="11"/>
      <c r="D264" s="11"/>
      <c r="J264" s="11"/>
      <c r="P264" s="11"/>
      <c r="Q264" s="11"/>
    </row>
    <row r="265" ht="15.75" customHeight="1">
      <c r="C265" s="11"/>
      <c r="D265" s="11"/>
      <c r="J265" s="11"/>
      <c r="P265" s="11"/>
      <c r="Q265" s="11"/>
    </row>
    <row r="266" ht="15.75" customHeight="1">
      <c r="C266" s="11"/>
      <c r="D266" s="11"/>
      <c r="J266" s="11"/>
      <c r="P266" s="11"/>
      <c r="Q266" s="11"/>
    </row>
    <row r="267" ht="15.75" customHeight="1">
      <c r="C267" s="11"/>
      <c r="D267" s="11"/>
      <c r="J267" s="11"/>
      <c r="P267" s="11"/>
      <c r="Q267" s="11"/>
    </row>
    <row r="268" ht="15.75" customHeight="1">
      <c r="C268" s="11"/>
      <c r="D268" s="11"/>
      <c r="J268" s="11"/>
      <c r="P268" s="11"/>
      <c r="Q268" s="11"/>
    </row>
    <row r="269" ht="15.75" customHeight="1">
      <c r="C269" s="11"/>
      <c r="D269" s="11"/>
      <c r="J269" s="11"/>
      <c r="P269" s="11"/>
      <c r="Q269" s="11"/>
    </row>
    <row r="270" ht="15.75" customHeight="1">
      <c r="C270" s="11"/>
      <c r="D270" s="11"/>
      <c r="J270" s="11"/>
      <c r="P270" s="11"/>
      <c r="Q270" s="11"/>
    </row>
    <row r="271" ht="15.75" customHeight="1">
      <c r="C271" s="11"/>
      <c r="D271" s="11"/>
      <c r="J271" s="11"/>
      <c r="P271" s="11"/>
      <c r="Q271" s="11"/>
    </row>
    <row r="272" ht="15.75" customHeight="1">
      <c r="C272" s="11"/>
      <c r="D272" s="11"/>
      <c r="J272" s="11"/>
      <c r="P272" s="11"/>
      <c r="Q272" s="11"/>
    </row>
    <row r="273" ht="15.75" customHeight="1">
      <c r="C273" s="11"/>
      <c r="D273" s="11"/>
      <c r="J273" s="11"/>
      <c r="P273" s="11"/>
      <c r="Q273" s="11"/>
    </row>
    <row r="274" ht="15.75" customHeight="1">
      <c r="C274" s="11"/>
      <c r="D274" s="11"/>
      <c r="J274" s="11"/>
      <c r="P274" s="11"/>
      <c r="Q274" s="11"/>
    </row>
    <row r="275" ht="15.75" customHeight="1">
      <c r="C275" s="11"/>
      <c r="D275" s="11"/>
      <c r="J275" s="11"/>
      <c r="P275" s="11"/>
      <c r="Q275" s="11"/>
    </row>
    <row r="276" ht="15.75" customHeight="1">
      <c r="C276" s="11"/>
      <c r="D276" s="11"/>
      <c r="J276" s="11"/>
      <c r="P276" s="11"/>
      <c r="Q276" s="11"/>
    </row>
    <row r="277" ht="15.75" customHeight="1">
      <c r="C277" s="11"/>
      <c r="D277" s="11"/>
      <c r="J277" s="11"/>
      <c r="P277" s="11"/>
      <c r="Q277" s="11"/>
    </row>
    <row r="278" ht="15.75" customHeight="1">
      <c r="C278" s="11"/>
      <c r="D278" s="11"/>
      <c r="J278" s="11"/>
      <c r="P278" s="11"/>
      <c r="Q278" s="11"/>
    </row>
    <row r="279" ht="15.75" customHeight="1">
      <c r="C279" s="11"/>
      <c r="D279" s="11"/>
      <c r="J279" s="11"/>
      <c r="P279" s="11"/>
      <c r="Q279" s="11"/>
    </row>
    <row r="280" ht="15.75" customHeight="1">
      <c r="C280" s="11"/>
      <c r="D280" s="11"/>
      <c r="J280" s="11"/>
      <c r="P280" s="11"/>
      <c r="Q280" s="11"/>
    </row>
    <row r="281" ht="15.75" customHeight="1">
      <c r="C281" s="11"/>
      <c r="D281" s="11"/>
      <c r="J281" s="11"/>
      <c r="P281" s="11"/>
      <c r="Q281" s="11"/>
    </row>
    <row r="282" ht="15.75" customHeight="1">
      <c r="C282" s="11"/>
      <c r="D282" s="11"/>
      <c r="J282" s="11"/>
      <c r="P282" s="11"/>
      <c r="Q282" s="11"/>
    </row>
    <row r="283" ht="15.75" customHeight="1">
      <c r="C283" s="11"/>
      <c r="D283" s="11"/>
      <c r="J283" s="11"/>
      <c r="P283" s="11"/>
      <c r="Q283" s="11"/>
    </row>
    <row r="284" ht="15.75" customHeight="1">
      <c r="C284" s="11"/>
      <c r="D284" s="11"/>
      <c r="J284" s="11"/>
      <c r="P284" s="11"/>
      <c r="Q284" s="11"/>
    </row>
    <row r="285" ht="15.75" customHeight="1">
      <c r="C285" s="11"/>
      <c r="D285" s="11"/>
      <c r="J285" s="11"/>
      <c r="P285" s="11"/>
      <c r="Q285" s="11"/>
    </row>
    <row r="286" ht="15.75" customHeight="1">
      <c r="C286" s="11"/>
      <c r="D286" s="11"/>
      <c r="J286" s="11"/>
      <c r="P286" s="11"/>
      <c r="Q286" s="11"/>
    </row>
    <row r="287" ht="15.75" customHeight="1">
      <c r="C287" s="11"/>
      <c r="D287" s="11"/>
      <c r="J287" s="11"/>
      <c r="P287" s="11"/>
      <c r="Q287" s="11"/>
    </row>
    <row r="288" ht="15.75" customHeight="1">
      <c r="C288" s="11"/>
      <c r="D288" s="11"/>
      <c r="J288" s="11"/>
      <c r="P288" s="11"/>
      <c r="Q288" s="11"/>
    </row>
    <row r="289" ht="15.75" customHeight="1">
      <c r="C289" s="11"/>
      <c r="D289" s="11"/>
      <c r="J289" s="11"/>
      <c r="P289" s="11"/>
      <c r="Q289" s="11"/>
    </row>
    <row r="290" ht="15.75" customHeight="1">
      <c r="C290" s="11"/>
      <c r="D290" s="11"/>
      <c r="J290" s="11"/>
      <c r="P290" s="11"/>
      <c r="Q290" s="11"/>
    </row>
    <row r="291" ht="15.75" customHeight="1">
      <c r="C291" s="11"/>
      <c r="D291" s="11"/>
      <c r="J291" s="11"/>
      <c r="P291" s="11"/>
      <c r="Q291" s="11"/>
    </row>
    <row r="292" ht="15.75" customHeight="1">
      <c r="C292" s="11"/>
      <c r="D292" s="11"/>
      <c r="J292" s="11"/>
      <c r="P292" s="11"/>
      <c r="Q292" s="11"/>
    </row>
    <row r="293" ht="15.75" customHeight="1">
      <c r="C293" s="11"/>
      <c r="D293" s="11"/>
      <c r="J293" s="11"/>
      <c r="P293" s="11"/>
      <c r="Q293" s="11"/>
    </row>
    <row r="294" ht="15.75" customHeight="1">
      <c r="C294" s="11"/>
      <c r="D294" s="11"/>
      <c r="J294" s="11"/>
      <c r="P294" s="11"/>
      <c r="Q294" s="11"/>
    </row>
    <row r="295" ht="15.75" customHeight="1">
      <c r="C295" s="11"/>
      <c r="D295" s="11"/>
      <c r="J295" s="11"/>
      <c r="P295" s="11"/>
      <c r="Q295" s="11"/>
    </row>
    <row r="296" ht="15.75" customHeight="1">
      <c r="C296" s="11"/>
      <c r="D296" s="11"/>
      <c r="J296" s="11"/>
      <c r="P296" s="11"/>
      <c r="Q296" s="11"/>
    </row>
    <row r="297" ht="15.75" customHeight="1">
      <c r="C297" s="11"/>
      <c r="D297" s="11"/>
      <c r="J297" s="11"/>
      <c r="P297" s="11"/>
      <c r="Q297" s="11"/>
    </row>
    <row r="298" ht="15.75" customHeight="1">
      <c r="C298" s="11"/>
      <c r="D298" s="11"/>
      <c r="J298" s="11"/>
      <c r="P298" s="11"/>
      <c r="Q298" s="11"/>
    </row>
    <row r="299" ht="15.75" customHeight="1">
      <c r="C299" s="11"/>
      <c r="D299" s="11"/>
      <c r="J299" s="11"/>
      <c r="P299" s="11"/>
      <c r="Q299" s="11"/>
    </row>
    <row r="300" ht="15.75" customHeight="1">
      <c r="C300" s="11"/>
      <c r="D300" s="11"/>
      <c r="J300" s="11"/>
      <c r="P300" s="11"/>
      <c r="Q300" s="11"/>
    </row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O2:O1000">
    <cfRule type="expression" dxfId="4" priority="1">
      <formula>$O2="Изчерпан"</formula>
    </cfRule>
  </conditionalFormatting>
  <conditionalFormatting sqref="O2:O1000">
    <cfRule type="expression" dxfId="5" priority="2">
      <formula>$O2="Ниска наличност"</formula>
    </cfRule>
  </conditionalFormatting>
  <conditionalFormatting sqref="O2:O1000">
    <cfRule type="expression" dxfId="6" priority="3">
      <formula>$O2="В наличност"</formula>
    </cfRule>
  </conditionalFormatting>
  <dataValidations>
    <dataValidation type="list" allowBlank="1" sqref="J2:J300">
      <formula1>Lists!$B$2:$B$7</formula1>
    </dataValidation>
    <dataValidation type="list" allowBlank="1" sqref="C2:D300">
      <formula1>Categories!$D$2:$D$50</formula1>
    </dataValidation>
    <dataValidation type="list" allowBlank="1" sqref="P2:Q300">
      <formula1>Lists!$A$2:$A$3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16.0"/>
    <col customWidth="1" min="4" max="4" width="22.0"/>
    <col customWidth="1" min="5" max="5" width="24.0"/>
    <col customWidth="1" min="6" max="6" width="14.0"/>
    <col customWidth="1" min="7" max="7" width="10.0"/>
    <col customWidth="1" min="8" max="26" width="8.63"/>
  </cols>
  <sheetData>
    <row r="1">
      <c r="A1" s="8" t="s">
        <v>321</v>
      </c>
      <c r="B1" s="8" t="s">
        <v>181</v>
      </c>
      <c r="C1" s="8" t="s">
        <v>322</v>
      </c>
      <c r="D1" s="8" t="s">
        <v>323</v>
      </c>
      <c r="E1" s="8" t="s">
        <v>324</v>
      </c>
      <c r="F1" s="8" t="s">
        <v>325</v>
      </c>
      <c r="G1" s="8" t="s">
        <v>58</v>
      </c>
    </row>
    <row r="2">
      <c r="A2" s="9" t="s">
        <v>326</v>
      </c>
      <c r="B2" s="9" t="s">
        <v>202</v>
      </c>
      <c r="C2" s="9" t="s">
        <v>34</v>
      </c>
      <c r="D2" s="9" t="s">
        <v>327</v>
      </c>
      <c r="E2" s="9" t="s">
        <v>328</v>
      </c>
      <c r="F2" s="9" t="s">
        <v>32</v>
      </c>
      <c r="G2" s="9">
        <v>1.0</v>
      </c>
    </row>
    <row r="3">
      <c r="A3" s="9" t="s">
        <v>329</v>
      </c>
      <c r="B3" s="9" t="s">
        <v>202</v>
      </c>
      <c r="C3" s="9" t="s">
        <v>37</v>
      </c>
      <c r="D3" s="9" t="s">
        <v>41</v>
      </c>
      <c r="E3" s="9" t="s">
        <v>330</v>
      </c>
      <c r="F3" s="9" t="s">
        <v>32</v>
      </c>
      <c r="G3" s="9">
        <v>2.0</v>
      </c>
    </row>
    <row r="4">
      <c r="A4" s="9" t="s">
        <v>331</v>
      </c>
      <c r="B4" s="9" t="s">
        <v>202</v>
      </c>
      <c r="C4" s="9" t="s">
        <v>39</v>
      </c>
      <c r="D4" s="9" t="s">
        <v>332</v>
      </c>
      <c r="E4" s="9" t="s">
        <v>206</v>
      </c>
      <c r="F4" s="9" t="s">
        <v>32</v>
      </c>
      <c r="G4" s="9">
        <v>3.0</v>
      </c>
    </row>
    <row r="5">
      <c r="A5" s="9" t="s">
        <v>333</v>
      </c>
      <c r="B5" s="9" t="s">
        <v>211</v>
      </c>
      <c r="C5" s="9" t="s">
        <v>34</v>
      </c>
      <c r="D5" s="9" t="s">
        <v>327</v>
      </c>
      <c r="E5" s="9" t="s">
        <v>334</v>
      </c>
      <c r="F5" s="9" t="s">
        <v>32</v>
      </c>
      <c r="G5" s="9">
        <v>1.0</v>
      </c>
    </row>
    <row r="6">
      <c r="A6" s="9" t="s">
        <v>335</v>
      </c>
      <c r="B6" s="9" t="s">
        <v>219</v>
      </c>
      <c r="C6" s="9" t="s">
        <v>34</v>
      </c>
      <c r="D6" s="9" t="s">
        <v>34</v>
      </c>
      <c r="E6" s="9" t="s">
        <v>224</v>
      </c>
      <c r="F6" s="9" t="s">
        <v>32</v>
      </c>
      <c r="G6" s="9">
        <v>1.0</v>
      </c>
    </row>
    <row r="7">
      <c r="A7" s="9" t="s">
        <v>336</v>
      </c>
      <c r="B7" s="9" t="s">
        <v>219</v>
      </c>
      <c r="C7" s="9" t="s">
        <v>37</v>
      </c>
      <c r="D7" s="9" t="s">
        <v>337</v>
      </c>
      <c r="E7" s="9" t="s">
        <v>338</v>
      </c>
      <c r="F7" s="9" t="s">
        <v>32</v>
      </c>
      <c r="G7" s="9">
        <v>2.0</v>
      </c>
    </row>
    <row r="8">
      <c r="A8" s="9" t="s">
        <v>339</v>
      </c>
      <c r="B8" s="9" t="s">
        <v>228</v>
      </c>
      <c r="C8" s="9" t="s">
        <v>34</v>
      </c>
      <c r="D8" s="9" t="s">
        <v>340</v>
      </c>
      <c r="E8" s="9" t="s">
        <v>341</v>
      </c>
      <c r="F8" s="9" t="s">
        <v>32</v>
      </c>
      <c r="G8" s="9">
        <v>1.0</v>
      </c>
    </row>
    <row r="9">
      <c r="A9" s="9" t="s">
        <v>342</v>
      </c>
      <c r="B9" s="9" t="s">
        <v>235</v>
      </c>
      <c r="C9" s="9" t="s">
        <v>34</v>
      </c>
      <c r="D9" s="9" t="s">
        <v>343</v>
      </c>
      <c r="E9" s="9" t="s">
        <v>344</v>
      </c>
      <c r="F9" s="9" t="s">
        <v>32</v>
      </c>
      <c r="G9" s="9">
        <v>1.0</v>
      </c>
    </row>
    <row r="10">
      <c r="A10" s="9" t="s">
        <v>345</v>
      </c>
      <c r="B10" s="9" t="s">
        <v>244</v>
      </c>
      <c r="C10" s="9" t="s">
        <v>43</v>
      </c>
      <c r="D10" s="9" t="s">
        <v>346</v>
      </c>
      <c r="E10" s="9" t="s">
        <v>347</v>
      </c>
      <c r="F10" s="9" t="s">
        <v>32</v>
      </c>
      <c r="G10" s="9">
        <v>1.0</v>
      </c>
    </row>
    <row r="11">
      <c r="A11" s="9" t="s">
        <v>348</v>
      </c>
      <c r="B11" s="9" t="s">
        <v>251</v>
      </c>
      <c r="C11" s="9" t="s">
        <v>34</v>
      </c>
      <c r="D11" s="9" t="s">
        <v>349</v>
      </c>
      <c r="E11" s="9" t="s">
        <v>350</v>
      </c>
      <c r="F11" s="9" t="s">
        <v>35</v>
      </c>
      <c r="G11" s="9">
        <v>1.0</v>
      </c>
    </row>
    <row r="12">
      <c r="A12" s="9" t="s">
        <v>351</v>
      </c>
      <c r="B12" s="9" t="s">
        <v>251</v>
      </c>
      <c r="C12" s="9" t="s">
        <v>37</v>
      </c>
      <c r="D12" s="9" t="s">
        <v>41</v>
      </c>
      <c r="E12" s="9" t="s">
        <v>352</v>
      </c>
      <c r="F12" s="9" t="s">
        <v>32</v>
      </c>
      <c r="G12" s="9">
        <v>2.0</v>
      </c>
    </row>
    <row r="13">
      <c r="A13" s="9" t="s">
        <v>353</v>
      </c>
      <c r="B13" s="9" t="s">
        <v>260</v>
      </c>
      <c r="C13" s="9" t="s">
        <v>37</v>
      </c>
      <c r="D13" s="9" t="s">
        <v>354</v>
      </c>
      <c r="E13" s="9" t="s">
        <v>355</v>
      </c>
      <c r="F13" s="9" t="s">
        <v>32</v>
      </c>
      <c r="G13" s="9">
        <v>1.0</v>
      </c>
    </row>
    <row r="14">
      <c r="A14" s="9" t="s">
        <v>356</v>
      </c>
      <c r="B14" s="9" t="s">
        <v>260</v>
      </c>
      <c r="C14" s="9" t="s">
        <v>43</v>
      </c>
      <c r="D14" s="9" t="s">
        <v>357</v>
      </c>
      <c r="E14" s="9" t="s">
        <v>358</v>
      </c>
      <c r="F14" s="9" t="s">
        <v>32</v>
      </c>
      <c r="G14" s="9">
        <v>2.0</v>
      </c>
    </row>
    <row r="15">
      <c r="A15" s="9" t="s">
        <v>359</v>
      </c>
      <c r="B15" s="9" t="s">
        <v>269</v>
      </c>
      <c r="C15" s="9" t="s">
        <v>34</v>
      </c>
      <c r="D15" s="9" t="s">
        <v>34</v>
      </c>
      <c r="E15" s="9" t="s">
        <v>273</v>
      </c>
      <c r="F15" s="9" t="s">
        <v>32</v>
      </c>
      <c r="G15" s="9">
        <v>1.0</v>
      </c>
    </row>
    <row r="16">
      <c r="A16" s="9" t="s">
        <v>360</v>
      </c>
      <c r="B16" s="9" t="s">
        <v>269</v>
      </c>
      <c r="C16" s="9" t="s">
        <v>43</v>
      </c>
      <c r="D16" s="9" t="s">
        <v>361</v>
      </c>
      <c r="E16" s="9" t="s">
        <v>362</v>
      </c>
      <c r="F16" s="9" t="s">
        <v>32</v>
      </c>
      <c r="G16" s="9">
        <v>2.0</v>
      </c>
    </row>
    <row r="17">
      <c r="A17" s="9" t="s">
        <v>363</v>
      </c>
      <c r="B17" s="9" t="s">
        <v>277</v>
      </c>
      <c r="C17" s="9" t="s">
        <v>43</v>
      </c>
      <c r="D17" s="9" t="s">
        <v>364</v>
      </c>
      <c r="E17" s="9" t="s">
        <v>32</v>
      </c>
      <c r="F17" s="9" t="s">
        <v>32</v>
      </c>
      <c r="G17" s="9">
        <v>1.0</v>
      </c>
    </row>
    <row r="18">
      <c r="A18" s="9" t="s">
        <v>365</v>
      </c>
      <c r="B18" s="9" t="s">
        <v>286</v>
      </c>
      <c r="C18" s="9" t="s">
        <v>47</v>
      </c>
      <c r="D18" s="9" t="s">
        <v>47</v>
      </c>
      <c r="E18" s="9" t="s">
        <v>366</v>
      </c>
      <c r="F18" s="9" t="s">
        <v>32</v>
      </c>
      <c r="G18" s="9">
        <v>1.0</v>
      </c>
    </row>
    <row r="19">
      <c r="A19" s="9" t="s">
        <v>367</v>
      </c>
      <c r="B19" s="9" t="s">
        <v>295</v>
      </c>
      <c r="C19" s="9" t="s">
        <v>37</v>
      </c>
      <c r="D19" s="9" t="s">
        <v>368</v>
      </c>
      <c r="E19" s="9" t="s">
        <v>369</v>
      </c>
      <c r="F19" s="9" t="s">
        <v>32</v>
      </c>
      <c r="G19" s="9">
        <v>1.0</v>
      </c>
    </row>
    <row r="20">
      <c r="A20" s="9" t="s">
        <v>370</v>
      </c>
      <c r="B20" s="9" t="s">
        <v>304</v>
      </c>
      <c r="C20" s="9" t="s">
        <v>43</v>
      </c>
      <c r="D20" s="9" t="s">
        <v>371</v>
      </c>
      <c r="E20" s="9" t="s">
        <v>372</v>
      </c>
      <c r="F20" s="9" t="s">
        <v>32</v>
      </c>
      <c r="G20" s="9">
        <v>1.0</v>
      </c>
    </row>
    <row r="21" ht="15.75" customHeight="1">
      <c r="A21" s="9" t="s">
        <v>373</v>
      </c>
      <c r="B21" s="9" t="s">
        <v>313</v>
      </c>
      <c r="C21" s="9" t="s">
        <v>47</v>
      </c>
      <c r="D21" s="9" t="s">
        <v>47</v>
      </c>
      <c r="E21" s="9" t="s">
        <v>374</v>
      </c>
      <c r="F21" s="9" t="s">
        <v>32</v>
      </c>
      <c r="G21" s="9">
        <v>1.0</v>
      </c>
    </row>
    <row r="22" ht="15.75" customHeight="1">
      <c r="A22" s="3"/>
      <c r="B22" s="3"/>
      <c r="C22" s="3"/>
      <c r="D22" s="3"/>
      <c r="E22" s="3"/>
      <c r="F22" s="3"/>
      <c r="G22" s="3"/>
    </row>
    <row r="23" ht="15.75" customHeight="1">
      <c r="A23" s="3"/>
      <c r="B23" s="3"/>
      <c r="C23" s="3"/>
      <c r="D23" s="3"/>
      <c r="E23" s="3"/>
      <c r="F23" s="3"/>
      <c r="G23" s="3"/>
    </row>
    <row r="24" ht="15.75" customHeight="1">
      <c r="A24" s="3"/>
      <c r="B24" s="3"/>
      <c r="C24" s="3"/>
      <c r="D24" s="3"/>
      <c r="E24" s="3"/>
      <c r="F24" s="3"/>
      <c r="G24" s="3"/>
    </row>
    <row r="25" ht="15.75" customHeight="1">
      <c r="A25" s="3"/>
      <c r="B25" s="3"/>
      <c r="C25" s="3"/>
      <c r="D25" s="3"/>
      <c r="E25" s="3"/>
      <c r="F25" s="3"/>
      <c r="G25" s="3"/>
    </row>
    <row r="26" ht="15.75" customHeight="1">
      <c r="A26" s="3"/>
      <c r="B26" s="3"/>
      <c r="C26" s="3"/>
      <c r="D26" s="3"/>
      <c r="E26" s="3"/>
      <c r="F26" s="3"/>
      <c r="G26" s="3"/>
    </row>
    <row r="27" ht="15.75" customHeight="1">
      <c r="A27" s="3"/>
      <c r="B27" s="3"/>
      <c r="C27" s="3"/>
      <c r="D27" s="3"/>
      <c r="E27" s="3"/>
      <c r="F27" s="3"/>
      <c r="G27" s="3"/>
    </row>
    <row r="28" ht="15.75" customHeight="1">
      <c r="A28" s="3"/>
      <c r="B28" s="3"/>
      <c r="C28" s="3"/>
      <c r="D28" s="3"/>
      <c r="E28" s="3"/>
      <c r="F28" s="3"/>
      <c r="G28" s="3"/>
    </row>
    <row r="29" ht="15.75" customHeight="1">
      <c r="A29" s="3"/>
      <c r="B29" s="3"/>
      <c r="C29" s="3"/>
      <c r="D29" s="3"/>
      <c r="E29" s="3"/>
      <c r="F29" s="3"/>
      <c r="G29" s="3"/>
    </row>
    <row r="30" ht="15.75" customHeight="1">
      <c r="A30" s="3"/>
      <c r="B30" s="3"/>
      <c r="C30" s="3"/>
      <c r="D30" s="3"/>
      <c r="E30" s="3"/>
      <c r="F30" s="3"/>
      <c r="G30" s="3"/>
    </row>
    <row r="31" ht="15.75" customHeight="1">
      <c r="A31" s="3"/>
      <c r="B31" s="3"/>
      <c r="C31" s="3"/>
      <c r="D31" s="3"/>
      <c r="E31" s="3"/>
      <c r="F31" s="3"/>
      <c r="G31" s="3"/>
    </row>
    <row r="32" ht="15.75" customHeight="1">
      <c r="A32" s="3"/>
      <c r="B32" s="3"/>
      <c r="C32" s="3"/>
      <c r="D32" s="3"/>
      <c r="E32" s="3"/>
      <c r="F32" s="3"/>
      <c r="G32" s="3"/>
    </row>
    <row r="33" ht="15.75" customHeight="1">
      <c r="A33" s="3"/>
      <c r="B33" s="3"/>
      <c r="C33" s="3"/>
      <c r="D33" s="3"/>
      <c r="E33" s="3"/>
      <c r="F33" s="3"/>
      <c r="G33" s="3"/>
    </row>
    <row r="34" ht="15.75" customHeight="1">
      <c r="A34" s="3"/>
      <c r="B34" s="3"/>
      <c r="C34" s="3"/>
      <c r="D34" s="3"/>
      <c r="E34" s="3"/>
      <c r="F34" s="3"/>
      <c r="G34" s="3"/>
    </row>
    <row r="35" ht="15.75" customHeight="1">
      <c r="A35" s="3"/>
      <c r="B35" s="3"/>
      <c r="C35" s="3"/>
      <c r="D35" s="3"/>
      <c r="E35" s="3"/>
      <c r="F35" s="3"/>
      <c r="G35" s="3"/>
    </row>
    <row r="36" ht="15.75" customHeight="1">
      <c r="A36" s="3"/>
      <c r="B36" s="3"/>
      <c r="C36" s="3"/>
      <c r="D36" s="3"/>
      <c r="E36" s="3"/>
      <c r="F36" s="3"/>
      <c r="G36" s="3"/>
    </row>
    <row r="37" ht="15.75" customHeight="1">
      <c r="A37" s="3"/>
      <c r="B37" s="3"/>
      <c r="C37" s="3"/>
      <c r="D37" s="3"/>
      <c r="E37" s="3"/>
      <c r="F37" s="3"/>
      <c r="G37" s="3"/>
    </row>
    <row r="38" ht="15.75" customHeight="1">
      <c r="A38" s="3"/>
      <c r="B38" s="3"/>
      <c r="C38" s="3"/>
      <c r="D38" s="3"/>
      <c r="E38" s="3"/>
      <c r="F38" s="3"/>
      <c r="G38" s="3"/>
    </row>
    <row r="39" ht="15.75" customHeight="1">
      <c r="A39" s="3"/>
      <c r="B39" s="3"/>
      <c r="C39" s="3"/>
      <c r="D39" s="3"/>
      <c r="E39" s="3"/>
      <c r="F39" s="3"/>
      <c r="G39" s="3"/>
    </row>
    <row r="40" ht="15.75" customHeight="1">
      <c r="A40" s="3"/>
      <c r="B40" s="3"/>
      <c r="C40" s="3"/>
      <c r="D40" s="3"/>
      <c r="E40" s="3"/>
      <c r="F40" s="3"/>
      <c r="G40" s="3"/>
    </row>
    <row r="41" ht="15.75" customHeight="1">
      <c r="A41" s="3"/>
      <c r="B41" s="3"/>
      <c r="C41" s="3"/>
      <c r="D41" s="3"/>
      <c r="E41" s="3"/>
      <c r="F41" s="3"/>
      <c r="G41" s="3"/>
    </row>
    <row r="42" ht="15.75" customHeight="1">
      <c r="A42" s="3"/>
      <c r="B42" s="3"/>
      <c r="C42" s="3"/>
      <c r="D42" s="3"/>
      <c r="E42" s="3"/>
      <c r="F42" s="3"/>
      <c r="G42" s="3"/>
    </row>
    <row r="43" ht="15.75" customHeight="1">
      <c r="A43" s="3"/>
      <c r="B43" s="3"/>
      <c r="C43" s="3"/>
      <c r="D43" s="3"/>
      <c r="E43" s="3"/>
      <c r="F43" s="3"/>
      <c r="G43" s="3"/>
    </row>
    <row r="44" ht="15.75" customHeight="1">
      <c r="A44" s="3"/>
      <c r="B44" s="3"/>
      <c r="C44" s="3"/>
      <c r="D44" s="3"/>
      <c r="E44" s="3"/>
      <c r="F44" s="3"/>
      <c r="G44" s="3"/>
    </row>
    <row r="45" ht="15.75" customHeight="1">
      <c r="A45" s="3"/>
      <c r="B45" s="3"/>
      <c r="C45" s="3"/>
      <c r="D45" s="3"/>
      <c r="E45" s="3"/>
      <c r="F45" s="3"/>
      <c r="G45" s="3"/>
    </row>
    <row r="46" ht="15.75" customHeight="1">
      <c r="A46" s="3"/>
      <c r="B46" s="3"/>
      <c r="C46" s="3"/>
      <c r="D46" s="3"/>
      <c r="E46" s="3"/>
      <c r="F46" s="3"/>
      <c r="G46" s="3"/>
    </row>
    <row r="47" ht="15.75" customHeight="1">
      <c r="A47" s="3"/>
      <c r="B47" s="3"/>
      <c r="C47" s="3"/>
      <c r="D47" s="3"/>
      <c r="E47" s="3"/>
      <c r="F47" s="3"/>
      <c r="G47" s="3"/>
    </row>
    <row r="48" ht="15.75" customHeight="1">
      <c r="A48" s="3"/>
      <c r="B48" s="3"/>
      <c r="C48" s="3"/>
      <c r="D48" s="3"/>
      <c r="E48" s="3"/>
      <c r="F48" s="3"/>
      <c r="G48" s="3"/>
    </row>
    <row r="49" ht="15.75" customHeight="1">
      <c r="A49" s="3"/>
      <c r="B49" s="3"/>
      <c r="C49" s="3"/>
      <c r="D49" s="3"/>
      <c r="E49" s="3"/>
      <c r="F49" s="3"/>
      <c r="G49" s="3"/>
    </row>
    <row r="50" ht="15.75" customHeight="1">
      <c r="A50" s="3"/>
      <c r="B50" s="3"/>
      <c r="C50" s="3"/>
      <c r="D50" s="3"/>
      <c r="E50" s="3"/>
      <c r="F50" s="3"/>
      <c r="G50" s="3"/>
    </row>
    <row r="51" ht="15.75" customHeight="1">
      <c r="A51" s="3"/>
      <c r="B51" s="3"/>
      <c r="C51" s="3"/>
      <c r="D51" s="3"/>
      <c r="E51" s="3"/>
      <c r="F51" s="3"/>
      <c r="G51" s="3"/>
    </row>
    <row r="52" ht="15.75" customHeight="1">
      <c r="A52" s="3"/>
      <c r="B52" s="3"/>
      <c r="C52" s="3"/>
      <c r="D52" s="3"/>
      <c r="E52" s="3"/>
      <c r="F52" s="3"/>
      <c r="G52" s="3"/>
    </row>
    <row r="53" ht="15.75" customHeight="1">
      <c r="A53" s="3"/>
      <c r="B53" s="3"/>
      <c r="C53" s="3"/>
      <c r="D53" s="3"/>
      <c r="E53" s="3"/>
      <c r="F53" s="3"/>
      <c r="G53" s="3"/>
    </row>
    <row r="54" ht="15.75" customHeight="1">
      <c r="A54" s="3"/>
      <c r="B54" s="3"/>
      <c r="C54" s="3"/>
      <c r="D54" s="3"/>
      <c r="E54" s="3"/>
      <c r="F54" s="3"/>
      <c r="G54" s="3"/>
    </row>
    <row r="55" ht="15.75" customHeight="1">
      <c r="A55" s="3"/>
      <c r="B55" s="3"/>
      <c r="C55" s="3"/>
      <c r="D55" s="3"/>
      <c r="E55" s="3"/>
      <c r="F55" s="3"/>
      <c r="G55" s="3"/>
    </row>
    <row r="56" ht="15.75" customHeight="1">
      <c r="A56" s="3"/>
      <c r="B56" s="3"/>
      <c r="C56" s="3"/>
      <c r="D56" s="3"/>
      <c r="E56" s="3"/>
      <c r="F56" s="3"/>
      <c r="G56" s="3"/>
    </row>
    <row r="57" ht="15.75" customHeight="1">
      <c r="A57" s="3"/>
      <c r="B57" s="3"/>
      <c r="C57" s="3"/>
      <c r="D57" s="3"/>
      <c r="E57" s="3"/>
      <c r="F57" s="3"/>
      <c r="G57" s="3"/>
    </row>
    <row r="58" ht="15.75" customHeight="1">
      <c r="A58" s="3"/>
      <c r="B58" s="3"/>
      <c r="C58" s="3"/>
      <c r="D58" s="3"/>
      <c r="E58" s="3"/>
      <c r="F58" s="3"/>
      <c r="G58" s="3"/>
    </row>
    <row r="59" ht="15.75" customHeight="1">
      <c r="A59" s="3"/>
      <c r="B59" s="3"/>
      <c r="C59" s="3"/>
      <c r="D59" s="3"/>
      <c r="E59" s="3"/>
      <c r="F59" s="3"/>
      <c r="G59" s="3"/>
    </row>
    <row r="60" ht="15.75" customHeight="1">
      <c r="A60" s="3"/>
      <c r="B60" s="3"/>
      <c r="C60" s="3"/>
      <c r="D60" s="3"/>
      <c r="E60" s="3"/>
      <c r="F60" s="3"/>
      <c r="G60" s="3"/>
    </row>
    <row r="61" ht="15.75" customHeight="1">
      <c r="A61" s="3"/>
      <c r="B61" s="3"/>
      <c r="C61" s="3"/>
      <c r="D61" s="3"/>
      <c r="E61" s="3"/>
      <c r="F61" s="3"/>
      <c r="G61" s="3"/>
    </row>
    <row r="62" ht="15.75" customHeight="1">
      <c r="A62" s="3"/>
      <c r="B62" s="3"/>
      <c r="C62" s="3"/>
      <c r="D62" s="3"/>
      <c r="E62" s="3"/>
      <c r="F62" s="3"/>
      <c r="G62" s="3"/>
    </row>
    <row r="63" ht="15.75" customHeight="1">
      <c r="A63" s="3"/>
      <c r="B63" s="3"/>
      <c r="C63" s="3"/>
      <c r="D63" s="3"/>
      <c r="E63" s="3"/>
      <c r="F63" s="3"/>
      <c r="G63" s="3"/>
    </row>
    <row r="64" ht="15.75" customHeight="1">
      <c r="A64" s="3"/>
      <c r="B64" s="3"/>
      <c r="C64" s="3"/>
      <c r="D64" s="3"/>
      <c r="E64" s="3"/>
      <c r="F64" s="3"/>
      <c r="G64" s="3"/>
    </row>
    <row r="65" ht="15.75" customHeight="1">
      <c r="A65" s="3"/>
      <c r="B65" s="3"/>
      <c r="C65" s="3"/>
      <c r="D65" s="3"/>
      <c r="E65" s="3"/>
      <c r="F65" s="3"/>
      <c r="G65" s="3"/>
    </row>
    <row r="66" ht="15.75" customHeight="1">
      <c r="A66" s="3"/>
      <c r="B66" s="3"/>
      <c r="C66" s="3"/>
      <c r="D66" s="3"/>
      <c r="E66" s="3"/>
      <c r="F66" s="3"/>
      <c r="G66" s="3"/>
    </row>
    <row r="67" ht="15.75" customHeight="1">
      <c r="A67" s="3"/>
      <c r="B67" s="3"/>
      <c r="C67" s="3"/>
      <c r="D67" s="3"/>
      <c r="E67" s="3"/>
      <c r="F67" s="3"/>
      <c r="G67" s="3"/>
    </row>
    <row r="68" ht="15.75" customHeight="1">
      <c r="A68" s="3"/>
      <c r="B68" s="3"/>
      <c r="C68" s="3"/>
      <c r="D68" s="3"/>
      <c r="E68" s="3"/>
      <c r="F68" s="3"/>
      <c r="G68" s="3"/>
    </row>
    <row r="69" ht="15.75" customHeight="1">
      <c r="A69" s="3"/>
      <c r="B69" s="3"/>
      <c r="C69" s="3"/>
      <c r="D69" s="3"/>
      <c r="E69" s="3"/>
      <c r="F69" s="3"/>
      <c r="G69" s="3"/>
    </row>
    <row r="70" ht="15.75" customHeight="1">
      <c r="A70" s="3"/>
      <c r="B70" s="3"/>
      <c r="C70" s="3"/>
      <c r="D70" s="3"/>
      <c r="E70" s="3"/>
      <c r="F70" s="3"/>
      <c r="G70" s="3"/>
    </row>
    <row r="71" ht="15.75" customHeight="1">
      <c r="A71" s="3"/>
      <c r="B71" s="3"/>
      <c r="C71" s="3"/>
      <c r="D71" s="3"/>
      <c r="E71" s="3"/>
      <c r="F71" s="3"/>
      <c r="G71" s="3"/>
    </row>
    <row r="72" ht="15.75" customHeight="1">
      <c r="A72" s="3"/>
      <c r="B72" s="3"/>
      <c r="C72" s="3"/>
      <c r="D72" s="3"/>
      <c r="E72" s="3"/>
      <c r="F72" s="3"/>
      <c r="G72" s="3"/>
    </row>
    <row r="73" ht="15.75" customHeight="1">
      <c r="A73" s="3"/>
      <c r="B73" s="3"/>
      <c r="C73" s="3"/>
      <c r="D73" s="3"/>
      <c r="E73" s="3"/>
      <c r="F73" s="3"/>
      <c r="G73" s="3"/>
    </row>
    <row r="74" ht="15.75" customHeight="1">
      <c r="A74" s="3"/>
      <c r="B74" s="3"/>
      <c r="C74" s="3"/>
      <c r="D74" s="3"/>
      <c r="E74" s="3"/>
      <c r="F74" s="3"/>
      <c r="G74" s="3"/>
    </row>
    <row r="75" ht="15.75" customHeight="1">
      <c r="A75" s="3"/>
      <c r="B75" s="3"/>
      <c r="C75" s="3"/>
      <c r="D75" s="3"/>
      <c r="E75" s="3"/>
      <c r="F75" s="3"/>
      <c r="G75" s="3"/>
    </row>
    <row r="76" ht="15.75" customHeight="1">
      <c r="A76" s="3"/>
      <c r="B76" s="3"/>
      <c r="C76" s="3"/>
      <c r="D76" s="3"/>
      <c r="E76" s="3"/>
      <c r="F76" s="3"/>
      <c r="G76" s="3"/>
    </row>
    <row r="77" ht="15.75" customHeight="1">
      <c r="A77" s="3"/>
      <c r="B77" s="3"/>
      <c r="C77" s="3"/>
      <c r="D77" s="3"/>
      <c r="E77" s="3"/>
      <c r="F77" s="3"/>
      <c r="G77" s="3"/>
    </row>
    <row r="78" ht="15.75" customHeight="1">
      <c r="A78" s="3"/>
      <c r="B78" s="3"/>
      <c r="C78" s="3"/>
      <c r="D78" s="3"/>
      <c r="E78" s="3"/>
      <c r="F78" s="3"/>
      <c r="G78" s="3"/>
    </row>
    <row r="79" ht="15.75" customHeight="1">
      <c r="A79" s="3"/>
      <c r="B79" s="3"/>
      <c r="C79" s="3"/>
      <c r="D79" s="3"/>
      <c r="E79" s="3"/>
      <c r="F79" s="3"/>
      <c r="G79" s="3"/>
    </row>
    <row r="80" ht="15.75" customHeight="1">
      <c r="A80" s="3"/>
      <c r="B80" s="3"/>
      <c r="C80" s="3"/>
      <c r="D80" s="3"/>
      <c r="E80" s="3"/>
      <c r="F80" s="3"/>
      <c r="G80" s="3"/>
    </row>
    <row r="81" ht="15.75" customHeight="1">
      <c r="A81" s="3"/>
      <c r="B81" s="3"/>
      <c r="C81" s="3"/>
      <c r="D81" s="3"/>
      <c r="E81" s="3"/>
      <c r="F81" s="3"/>
      <c r="G81" s="3"/>
    </row>
    <row r="82" ht="15.75" customHeight="1">
      <c r="A82" s="3"/>
      <c r="B82" s="3"/>
      <c r="C82" s="3"/>
      <c r="D82" s="3"/>
      <c r="E82" s="3"/>
      <c r="F82" s="3"/>
      <c r="G82" s="3"/>
    </row>
    <row r="83" ht="15.75" customHeight="1">
      <c r="A83" s="3"/>
      <c r="B83" s="3"/>
      <c r="C83" s="3"/>
      <c r="D83" s="3"/>
      <c r="E83" s="3"/>
      <c r="F83" s="3"/>
      <c r="G83" s="3"/>
    </row>
    <row r="84" ht="15.75" customHeight="1">
      <c r="A84" s="3"/>
      <c r="B84" s="3"/>
      <c r="C84" s="3"/>
      <c r="D84" s="3"/>
      <c r="E84" s="3"/>
      <c r="F84" s="3"/>
      <c r="G84" s="3"/>
    </row>
    <row r="85" ht="15.75" customHeight="1">
      <c r="A85" s="3"/>
      <c r="B85" s="3"/>
      <c r="C85" s="3"/>
      <c r="D85" s="3"/>
      <c r="E85" s="3"/>
      <c r="F85" s="3"/>
      <c r="G85" s="3"/>
    </row>
    <row r="86" ht="15.75" customHeight="1">
      <c r="A86" s="3"/>
      <c r="B86" s="3"/>
      <c r="C86" s="3"/>
      <c r="D86" s="3"/>
      <c r="E86" s="3"/>
      <c r="F86" s="3"/>
      <c r="G86" s="3"/>
    </row>
    <row r="87" ht="15.75" customHeight="1">
      <c r="A87" s="3"/>
      <c r="B87" s="3"/>
      <c r="C87" s="3"/>
      <c r="D87" s="3"/>
      <c r="E87" s="3"/>
      <c r="F87" s="3"/>
      <c r="G87" s="3"/>
    </row>
    <row r="88" ht="15.75" customHeight="1">
      <c r="A88" s="3"/>
      <c r="B88" s="3"/>
      <c r="C88" s="3"/>
      <c r="D88" s="3"/>
      <c r="E88" s="3"/>
      <c r="F88" s="3"/>
      <c r="G88" s="3"/>
    </row>
    <row r="89" ht="15.75" customHeight="1">
      <c r="A89" s="3"/>
      <c r="B89" s="3"/>
      <c r="C89" s="3"/>
      <c r="D89" s="3"/>
      <c r="E89" s="3"/>
      <c r="F89" s="3"/>
      <c r="G89" s="3"/>
    </row>
    <row r="90" ht="15.75" customHeight="1">
      <c r="A90" s="3"/>
      <c r="B90" s="3"/>
      <c r="C90" s="3"/>
      <c r="D90" s="3"/>
      <c r="E90" s="3"/>
      <c r="F90" s="3"/>
      <c r="G90" s="3"/>
    </row>
    <row r="91" ht="15.75" customHeight="1">
      <c r="A91" s="3"/>
      <c r="B91" s="3"/>
      <c r="C91" s="3"/>
      <c r="D91" s="3"/>
      <c r="E91" s="3"/>
      <c r="F91" s="3"/>
      <c r="G91" s="3"/>
    </row>
    <row r="92" ht="15.75" customHeight="1">
      <c r="A92" s="3"/>
      <c r="B92" s="3"/>
      <c r="C92" s="3"/>
      <c r="D92" s="3"/>
      <c r="E92" s="3"/>
      <c r="F92" s="3"/>
      <c r="G92" s="3"/>
    </row>
    <row r="93" ht="15.75" customHeight="1">
      <c r="A93" s="3"/>
      <c r="B93" s="3"/>
      <c r="C93" s="3"/>
      <c r="D93" s="3"/>
      <c r="E93" s="3"/>
      <c r="F93" s="3"/>
      <c r="G93" s="3"/>
    </row>
    <row r="94" ht="15.75" customHeight="1">
      <c r="A94" s="3"/>
      <c r="B94" s="3"/>
      <c r="C94" s="3"/>
      <c r="D94" s="3"/>
      <c r="E94" s="3"/>
      <c r="F94" s="3"/>
      <c r="G94" s="3"/>
    </row>
    <row r="95" ht="15.75" customHeight="1">
      <c r="A95" s="3"/>
      <c r="B95" s="3"/>
      <c r="C95" s="3"/>
      <c r="D95" s="3"/>
      <c r="E95" s="3"/>
      <c r="F95" s="3"/>
      <c r="G95" s="3"/>
    </row>
    <row r="96" ht="15.75" customHeight="1">
      <c r="A96" s="3"/>
      <c r="B96" s="3"/>
      <c r="C96" s="3"/>
      <c r="D96" s="3"/>
      <c r="E96" s="3"/>
      <c r="F96" s="3"/>
      <c r="G96" s="3"/>
    </row>
    <row r="97" ht="15.75" customHeight="1">
      <c r="A97" s="3"/>
      <c r="B97" s="3"/>
      <c r="C97" s="3"/>
      <c r="D97" s="3"/>
      <c r="E97" s="3"/>
      <c r="F97" s="3"/>
      <c r="G97" s="3"/>
    </row>
    <row r="98" ht="15.75" customHeight="1">
      <c r="A98" s="3"/>
      <c r="B98" s="3"/>
      <c r="C98" s="3"/>
      <c r="D98" s="3"/>
      <c r="E98" s="3"/>
      <c r="F98" s="3"/>
      <c r="G98" s="3"/>
    </row>
    <row r="99" ht="15.75" customHeight="1">
      <c r="A99" s="3"/>
      <c r="B99" s="3"/>
      <c r="C99" s="3"/>
      <c r="D99" s="3"/>
      <c r="E99" s="3"/>
      <c r="F99" s="3"/>
      <c r="G99" s="3"/>
    </row>
    <row r="100" ht="15.75" customHeight="1">
      <c r="A100" s="3"/>
      <c r="B100" s="3"/>
      <c r="C100" s="3"/>
      <c r="D100" s="3"/>
      <c r="E100" s="3"/>
      <c r="F100" s="3"/>
      <c r="G100" s="3"/>
    </row>
    <row r="101" ht="15.75" customHeight="1">
      <c r="A101" s="3"/>
      <c r="B101" s="3"/>
      <c r="C101" s="3"/>
      <c r="D101" s="3"/>
      <c r="E101" s="3"/>
      <c r="F101" s="3"/>
      <c r="G101" s="3"/>
    </row>
    <row r="102" ht="15.75" customHeight="1">
      <c r="A102" s="3"/>
      <c r="B102" s="3"/>
      <c r="C102" s="3"/>
      <c r="D102" s="3"/>
      <c r="E102" s="3"/>
      <c r="F102" s="3"/>
      <c r="G102" s="3"/>
    </row>
    <row r="103" ht="15.75" customHeight="1">
      <c r="A103" s="3"/>
      <c r="B103" s="3"/>
      <c r="C103" s="3"/>
      <c r="D103" s="3"/>
      <c r="E103" s="3"/>
      <c r="F103" s="3"/>
      <c r="G103" s="3"/>
    </row>
    <row r="104" ht="15.75" customHeight="1">
      <c r="A104" s="3"/>
      <c r="B104" s="3"/>
      <c r="C104" s="3"/>
      <c r="D104" s="3"/>
      <c r="E104" s="3"/>
      <c r="F104" s="3"/>
      <c r="G104" s="3"/>
    </row>
    <row r="105" ht="15.75" customHeight="1">
      <c r="A105" s="3"/>
      <c r="B105" s="3"/>
      <c r="C105" s="3"/>
      <c r="D105" s="3"/>
      <c r="E105" s="3"/>
      <c r="F105" s="3"/>
      <c r="G105" s="3"/>
    </row>
    <row r="106" ht="15.75" customHeight="1">
      <c r="A106" s="3"/>
      <c r="B106" s="3"/>
      <c r="C106" s="3"/>
      <c r="D106" s="3"/>
      <c r="E106" s="3"/>
      <c r="F106" s="3"/>
      <c r="G106" s="3"/>
    </row>
    <row r="107" ht="15.75" customHeight="1">
      <c r="A107" s="3"/>
      <c r="B107" s="3"/>
      <c r="C107" s="3"/>
      <c r="D107" s="3"/>
      <c r="E107" s="3"/>
      <c r="F107" s="3"/>
      <c r="G107" s="3"/>
    </row>
    <row r="108" ht="15.75" customHeight="1">
      <c r="A108" s="3"/>
      <c r="B108" s="3"/>
      <c r="C108" s="3"/>
      <c r="D108" s="3"/>
      <c r="E108" s="3"/>
      <c r="F108" s="3"/>
      <c r="G108" s="3"/>
    </row>
    <row r="109" ht="15.75" customHeight="1">
      <c r="A109" s="3"/>
      <c r="B109" s="3"/>
      <c r="C109" s="3"/>
      <c r="D109" s="3"/>
      <c r="E109" s="3"/>
      <c r="F109" s="3"/>
      <c r="G109" s="3"/>
    </row>
    <row r="110" ht="15.75" customHeight="1">
      <c r="A110" s="3"/>
      <c r="B110" s="3"/>
      <c r="C110" s="3"/>
      <c r="D110" s="3"/>
      <c r="E110" s="3"/>
      <c r="F110" s="3"/>
      <c r="G110" s="3"/>
    </row>
    <row r="111" ht="15.75" customHeight="1">
      <c r="A111" s="3"/>
      <c r="B111" s="3"/>
      <c r="C111" s="3"/>
      <c r="D111" s="3"/>
      <c r="E111" s="3"/>
      <c r="F111" s="3"/>
      <c r="G111" s="3"/>
    </row>
    <row r="112" ht="15.75" customHeight="1">
      <c r="A112" s="3"/>
      <c r="B112" s="3"/>
      <c r="C112" s="3"/>
      <c r="D112" s="3"/>
      <c r="E112" s="3"/>
      <c r="F112" s="3"/>
      <c r="G112" s="3"/>
    </row>
    <row r="113" ht="15.75" customHeight="1">
      <c r="A113" s="3"/>
      <c r="B113" s="3"/>
      <c r="C113" s="3"/>
      <c r="D113" s="3"/>
      <c r="E113" s="3"/>
      <c r="F113" s="3"/>
      <c r="G113" s="3"/>
    </row>
    <row r="114" ht="15.75" customHeight="1">
      <c r="A114" s="3"/>
      <c r="B114" s="3"/>
      <c r="C114" s="3"/>
      <c r="D114" s="3"/>
      <c r="E114" s="3"/>
      <c r="F114" s="3"/>
      <c r="G114" s="3"/>
    </row>
    <row r="115" ht="15.75" customHeight="1">
      <c r="A115" s="3"/>
      <c r="B115" s="3"/>
      <c r="C115" s="3"/>
      <c r="D115" s="3"/>
      <c r="E115" s="3"/>
      <c r="F115" s="3"/>
      <c r="G115" s="3"/>
    </row>
    <row r="116" ht="15.75" customHeight="1">
      <c r="A116" s="3"/>
      <c r="B116" s="3"/>
      <c r="C116" s="3"/>
      <c r="D116" s="3"/>
      <c r="E116" s="3"/>
      <c r="F116" s="3"/>
      <c r="G116" s="3"/>
    </row>
    <row r="117" ht="15.75" customHeight="1">
      <c r="A117" s="3"/>
      <c r="B117" s="3"/>
      <c r="C117" s="3"/>
      <c r="D117" s="3"/>
      <c r="E117" s="3"/>
      <c r="F117" s="3"/>
      <c r="G117" s="3"/>
    </row>
    <row r="118" ht="15.75" customHeight="1">
      <c r="A118" s="3"/>
      <c r="B118" s="3"/>
      <c r="C118" s="3"/>
      <c r="D118" s="3"/>
      <c r="E118" s="3"/>
      <c r="F118" s="3"/>
      <c r="G118" s="3"/>
    </row>
    <row r="119" ht="15.75" customHeight="1">
      <c r="A119" s="3"/>
      <c r="B119" s="3"/>
      <c r="C119" s="3"/>
      <c r="D119" s="3"/>
      <c r="E119" s="3"/>
      <c r="F119" s="3"/>
      <c r="G119" s="3"/>
    </row>
    <row r="120" ht="15.75" customHeight="1">
      <c r="A120" s="3"/>
      <c r="B120" s="3"/>
      <c r="C120" s="3"/>
      <c r="D120" s="3"/>
      <c r="E120" s="3"/>
      <c r="F120" s="3"/>
      <c r="G120" s="3"/>
    </row>
    <row r="121" ht="15.75" customHeight="1">
      <c r="A121" s="3"/>
      <c r="B121" s="3"/>
      <c r="C121" s="3"/>
      <c r="D121" s="3"/>
      <c r="E121" s="3"/>
      <c r="F121" s="3"/>
      <c r="G121" s="3"/>
    </row>
    <row r="122" ht="15.75" customHeight="1">
      <c r="A122" s="3"/>
      <c r="B122" s="3"/>
      <c r="C122" s="3"/>
      <c r="D122" s="3"/>
      <c r="E122" s="3"/>
      <c r="F122" s="3"/>
      <c r="G122" s="3"/>
    </row>
    <row r="123" ht="15.75" customHeight="1">
      <c r="A123" s="3"/>
      <c r="B123" s="3"/>
      <c r="C123" s="3"/>
      <c r="D123" s="3"/>
      <c r="E123" s="3"/>
      <c r="F123" s="3"/>
      <c r="G123" s="3"/>
    </row>
    <row r="124" ht="15.75" customHeight="1">
      <c r="A124" s="3"/>
      <c r="B124" s="3"/>
      <c r="C124" s="3"/>
      <c r="D124" s="3"/>
      <c r="E124" s="3"/>
      <c r="F124" s="3"/>
      <c r="G124" s="3"/>
    </row>
    <row r="125" ht="15.75" customHeight="1">
      <c r="A125" s="3"/>
      <c r="B125" s="3"/>
      <c r="C125" s="3"/>
      <c r="D125" s="3"/>
      <c r="E125" s="3"/>
      <c r="F125" s="3"/>
      <c r="G125" s="3"/>
    </row>
    <row r="126" ht="15.75" customHeight="1">
      <c r="A126" s="3"/>
      <c r="B126" s="3"/>
      <c r="C126" s="3"/>
      <c r="D126" s="3"/>
      <c r="E126" s="3"/>
      <c r="F126" s="3"/>
      <c r="G126" s="3"/>
    </row>
    <row r="127" ht="15.75" customHeight="1">
      <c r="A127" s="3"/>
      <c r="B127" s="3"/>
      <c r="C127" s="3"/>
      <c r="D127" s="3"/>
      <c r="E127" s="3"/>
      <c r="F127" s="3"/>
      <c r="G127" s="3"/>
    </row>
    <row r="128" ht="15.75" customHeight="1">
      <c r="A128" s="3"/>
      <c r="B128" s="3"/>
      <c r="C128" s="3"/>
      <c r="D128" s="3"/>
      <c r="E128" s="3"/>
      <c r="F128" s="3"/>
      <c r="G128" s="3"/>
    </row>
    <row r="129" ht="15.75" customHeight="1">
      <c r="A129" s="3"/>
      <c r="B129" s="3"/>
      <c r="C129" s="3"/>
      <c r="D129" s="3"/>
      <c r="E129" s="3"/>
      <c r="F129" s="3"/>
      <c r="G129" s="3"/>
    </row>
    <row r="130" ht="15.75" customHeight="1">
      <c r="A130" s="3"/>
      <c r="B130" s="3"/>
      <c r="C130" s="3"/>
      <c r="D130" s="3"/>
      <c r="E130" s="3"/>
      <c r="F130" s="3"/>
      <c r="G130" s="3"/>
    </row>
    <row r="131" ht="15.75" customHeight="1">
      <c r="A131" s="3"/>
      <c r="B131" s="3"/>
      <c r="C131" s="3"/>
      <c r="D131" s="3"/>
      <c r="E131" s="3"/>
      <c r="F131" s="3"/>
      <c r="G131" s="3"/>
    </row>
    <row r="132" ht="15.75" customHeight="1">
      <c r="A132" s="3"/>
      <c r="B132" s="3"/>
      <c r="C132" s="3"/>
      <c r="D132" s="3"/>
      <c r="E132" s="3"/>
      <c r="F132" s="3"/>
      <c r="G132" s="3"/>
    </row>
    <row r="133" ht="15.75" customHeight="1">
      <c r="A133" s="3"/>
      <c r="B133" s="3"/>
      <c r="C133" s="3"/>
      <c r="D133" s="3"/>
      <c r="E133" s="3"/>
      <c r="F133" s="3"/>
      <c r="G133" s="3"/>
    </row>
    <row r="134" ht="15.75" customHeight="1">
      <c r="A134" s="3"/>
      <c r="B134" s="3"/>
      <c r="C134" s="3"/>
      <c r="D134" s="3"/>
      <c r="E134" s="3"/>
      <c r="F134" s="3"/>
      <c r="G134" s="3"/>
    </row>
    <row r="135" ht="15.75" customHeight="1">
      <c r="A135" s="3"/>
      <c r="B135" s="3"/>
      <c r="C135" s="3"/>
      <c r="D135" s="3"/>
      <c r="E135" s="3"/>
      <c r="F135" s="3"/>
      <c r="G135" s="3"/>
    </row>
    <row r="136" ht="15.75" customHeight="1">
      <c r="A136" s="3"/>
      <c r="B136" s="3"/>
      <c r="C136" s="3"/>
      <c r="D136" s="3"/>
      <c r="E136" s="3"/>
      <c r="F136" s="3"/>
      <c r="G136" s="3"/>
    </row>
    <row r="137" ht="15.75" customHeight="1">
      <c r="A137" s="3"/>
      <c r="B137" s="3"/>
      <c r="C137" s="3"/>
      <c r="D137" s="3"/>
      <c r="E137" s="3"/>
      <c r="F137" s="3"/>
      <c r="G137" s="3"/>
    </row>
    <row r="138" ht="15.75" customHeight="1">
      <c r="A138" s="3"/>
      <c r="B138" s="3"/>
      <c r="C138" s="3"/>
      <c r="D138" s="3"/>
      <c r="E138" s="3"/>
      <c r="F138" s="3"/>
      <c r="G138" s="3"/>
    </row>
    <row r="139" ht="15.75" customHeight="1">
      <c r="A139" s="3"/>
      <c r="B139" s="3"/>
      <c r="C139" s="3"/>
      <c r="D139" s="3"/>
      <c r="E139" s="3"/>
      <c r="F139" s="3"/>
      <c r="G139" s="3"/>
    </row>
    <row r="140" ht="15.75" customHeight="1">
      <c r="A140" s="3"/>
      <c r="B140" s="3"/>
      <c r="C140" s="3"/>
      <c r="D140" s="3"/>
      <c r="E140" s="3"/>
      <c r="F140" s="3"/>
      <c r="G140" s="3"/>
    </row>
    <row r="141" ht="15.75" customHeight="1">
      <c r="A141" s="3"/>
      <c r="B141" s="3"/>
      <c r="C141" s="3"/>
      <c r="D141" s="3"/>
      <c r="E141" s="3"/>
      <c r="F141" s="3"/>
      <c r="G141" s="3"/>
    </row>
    <row r="142" ht="15.75" customHeight="1">
      <c r="A142" s="3"/>
      <c r="B142" s="3"/>
      <c r="C142" s="3"/>
      <c r="D142" s="3"/>
      <c r="E142" s="3"/>
      <c r="F142" s="3"/>
      <c r="G142" s="3"/>
    </row>
    <row r="143" ht="15.75" customHeight="1">
      <c r="A143" s="3"/>
      <c r="B143" s="3"/>
      <c r="C143" s="3"/>
      <c r="D143" s="3"/>
      <c r="E143" s="3"/>
      <c r="F143" s="3"/>
      <c r="G143" s="3"/>
    </row>
    <row r="144" ht="15.75" customHeight="1">
      <c r="A144" s="3"/>
      <c r="B144" s="3"/>
      <c r="C144" s="3"/>
      <c r="D144" s="3"/>
      <c r="E144" s="3"/>
      <c r="F144" s="3"/>
      <c r="G144" s="3"/>
    </row>
    <row r="145" ht="15.75" customHeight="1">
      <c r="A145" s="3"/>
      <c r="B145" s="3"/>
      <c r="C145" s="3"/>
      <c r="D145" s="3"/>
      <c r="E145" s="3"/>
      <c r="F145" s="3"/>
      <c r="G145" s="3"/>
    </row>
    <row r="146" ht="15.75" customHeight="1">
      <c r="A146" s="3"/>
      <c r="B146" s="3"/>
      <c r="C146" s="3"/>
      <c r="D146" s="3"/>
      <c r="E146" s="3"/>
      <c r="F146" s="3"/>
      <c r="G146" s="3"/>
    </row>
    <row r="147" ht="15.75" customHeight="1">
      <c r="A147" s="3"/>
      <c r="B147" s="3"/>
      <c r="C147" s="3"/>
      <c r="D147" s="3"/>
      <c r="E147" s="3"/>
      <c r="F147" s="3"/>
      <c r="G147" s="3"/>
    </row>
    <row r="148" ht="15.75" customHeight="1">
      <c r="A148" s="3"/>
      <c r="B148" s="3"/>
      <c r="C148" s="3"/>
      <c r="D148" s="3"/>
      <c r="E148" s="3"/>
      <c r="F148" s="3"/>
      <c r="G148" s="3"/>
    </row>
    <row r="149" ht="15.75" customHeight="1">
      <c r="A149" s="3"/>
      <c r="B149" s="3"/>
      <c r="C149" s="3"/>
      <c r="D149" s="3"/>
      <c r="E149" s="3"/>
      <c r="F149" s="3"/>
      <c r="G149" s="3"/>
    </row>
    <row r="150" ht="15.75" customHeight="1">
      <c r="A150" s="3"/>
      <c r="B150" s="3"/>
      <c r="C150" s="3"/>
      <c r="D150" s="3"/>
      <c r="E150" s="3"/>
      <c r="F150" s="3"/>
      <c r="G150" s="3"/>
    </row>
    <row r="151" ht="15.75" customHeight="1">
      <c r="A151" s="3"/>
      <c r="B151" s="3"/>
      <c r="C151" s="3"/>
      <c r="D151" s="3"/>
      <c r="E151" s="3"/>
      <c r="F151" s="3"/>
      <c r="G151" s="3"/>
    </row>
    <row r="152" ht="15.75" customHeight="1">
      <c r="A152" s="3"/>
      <c r="B152" s="3"/>
      <c r="C152" s="3"/>
      <c r="D152" s="3"/>
      <c r="E152" s="3"/>
      <c r="F152" s="3"/>
      <c r="G152" s="3"/>
    </row>
    <row r="153" ht="15.75" customHeight="1">
      <c r="A153" s="3"/>
      <c r="B153" s="3"/>
      <c r="C153" s="3"/>
      <c r="D153" s="3"/>
      <c r="E153" s="3"/>
      <c r="F153" s="3"/>
      <c r="G153" s="3"/>
    </row>
    <row r="154" ht="15.75" customHeight="1">
      <c r="A154" s="3"/>
      <c r="B154" s="3"/>
      <c r="C154" s="3"/>
      <c r="D154" s="3"/>
      <c r="E154" s="3"/>
      <c r="F154" s="3"/>
      <c r="G154" s="3"/>
    </row>
    <row r="155" ht="15.75" customHeight="1">
      <c r="A155" s="3"/>
      <c r="B155" s="3"/>
      <c r="C155" s="3"/>
      <c r="D155" s="3"/>
      <c r="E155" s="3"/>
      <c r="F155" s="3"/>
      <c r="G155" s="3"/>
    </row>
    <row r="156" ht="15.75" customHeight="1">
      <c r="A156" s="3"/>
      <c r="B156" s="3"/>
      <c r="C156" s="3"/>
      <c r="D156" s="3"/>
      <c r="E156" s="3"/>
      <c r="F156" s="3"/>
      <c r="G156" s="3"/>
    </row>
    <row r="157" ht="15.75" customHeight="1">
      <c r="A157" s="3"/>
      <c r="B157" s="3"/>
      <c r="C157" s="3"/>
      <c r="D157" s="3"/>
      <c r="E157" s="3"/>
      <c r="F157" s="3"/>
      <c r="G157" s="3"/>
    </row>
    <row r="158" ht="15.75" customHeight="1">
      <c r="A158" s="3"/>
      <c r="B158" s="3"/>
      <c r="C158" s="3"/>
      <c r="D158" s="3"/>
      <c r="E158" s="3"/>
      <c r="F158" s="3"/>
      <c r="G158" s="3"/>
    </row>
    <row r="159" ht="15.75" customHeight="1">
      <c r="A159" s="3"/>
      <c r="B159" s="3"/>
      <c r="C159" s="3"/>
      <c r="D159" s="3"/>
      <c r="E159" s="3"/>
      <c r="F159" s="3"/>
      <c r="G159" s="3"/>
    </row>
    <row r="160" ht="15.75" customHeight="1">
      <c r="A160" s="3"/>
      <c r="B160" s="3"/>
      <c r="C160" s="3"/>
      <c r="D160" s="3"/>
      <c r="E160" s="3"/>
      <c r="F160" s="3"/>
      <c r="G160" s="3"/>
    </row>
    <row r="161" ht="15.75" customHeight="1">
      <c r="A161" s="3"/>
      <c r="B161" s="3"/>
      <c r="C161" s="3"/>
      <c r="D161" s="3"/>
      <c r="E161" s="3"/>
      <c r="F161" s="3"/>
      <c r="G161" s="3"/>
    </row>
    <row r="162" ht="15.75" customHeight="1">
      <c r="A162" s="3"/>
      <c r="B162" s="3"/>
      <c r="C162" s="3"/>
      <c r="D162" s="3"/>
      <c r="E162" s="3"/>
      <c r="F162" s="3"/>
      <c r="G162" s="3"/>
    </row>
    <row r="163" ht="15.75" customHeight="1">
      <c r="A163" s="3"/>
      <c r="B163" s="3"/>
      <c r="C163" s="3"/>
      <c r="D163" s="3"/>
      <c r="E163" s="3"/>
      <c r="F163" s="3"/>
      <c r="G163" s="3"/>
    </row>
    <row r="164" ht="15.75" customHeight="1">
      <c r="A164" s="3"/>
      <c r="B164" s="3"/>
      <c r="C164" s="3"/>
      <c r="D164" s="3"/>
      <c r="E164" s="3"/>
      <c r="F164" s="3"/>
      <c r="G164" s="3"/>
    </row>
    <row r="165" ht="15.75" customHeight="1">
      <c r="A165" s="3"/>
      <c r="B165" s="3"/>
      <c r="C165" s="3"/>
      <c r="D165" s="3"/>
      <c r="E165" s="3"/>
      <c r="F165" s="3"/>
      <c r="G165" s="3"/>
    </row>
    <row r="166" ht="15.75" customHeight="1">
      <c r="A166" s="3"/>
      <c r="B166" s="3"/>
      <c r="C166" s="3"/>
      <c r="D166" s="3"/>
      <c r="E166" s="3"/>
      <c r="F166" s="3"/>
      <c r="G166" s="3"/>
    </row>
    <row r="167" ht="15.75" customHeight="1">
      <c r="A167" s="3"/>
      <c r="B167" s="3"/>
      <c r="C167" s="3"/>
      <c r="D167" s="3"/>
      <c r="E167" s="3"/>
      <c r="F167" s="3"/>
      <c r="G167" s="3"/>
    </row>
    <row r="168" ht="15.75" customHeight="1">
      <c r="A168" s="3"/>
      <c r="B168" s="3"/>
      <c r="C168" s="3"/>
      <c r="D168" s="3"/>
      <c r="E168" s="3"/>
      <c r="F168" s="3"/>
      <c r="G168" s="3"/>
    </row>
    <row r="169" ht="15.75" customHeight="1">
      <c r="A169" s="3"/>
      <c r="B169" s="3"/>
      <c r="C169" s="3"/>
      <c r="D169" s="3"/>
      <c r="E169" s="3"/>
      <c r="F169" s="3"/>
      <c r="G169" s="3"/>
    </row>
    <row r="170" ht="15.75" customHeight="1">
      <c r="A170" s="3"/>
      <c r="B170" s="3"/>
      <c r="C170" s="3"/>
      <c r="D170" s="3"/>
      <c r="E170" s="3"/>
      <c r="F170" s="3"/>
      <c r="G170" s="3"/>
    </row>
    <row r="171" ht="15.75" customHeight="1">
      <c r="A171" s="3"/>
      <c r="B171" s="3"/>
      <c r="C171" s="3"/>
      <c r="D171" s="3"/>
      <c r="E171" s="3"/>
      <c r="F171" s="3"/>
      <c r="G171" s="3"/>
    </row>
    <row r="172" ht="15.75" customHeight="1">
      <c r="A172" s="3"/>
      <c r="B172" s="3"/>
      <c r="C172" s="3"/>
      <c r="D172" s="3"/>
      <c r="E172" s="3"/>
      <c r="F172" s="3"/>
      <c r="G172" s="3"/>
    </row>
    <row r="173" ht="15.75" customHeight="1">
      <c r="A173" s="3"/>
      <c r="B173" s="3"/>
      <c r="C173" s="3"/>
      <c r="D173" s="3"/>
      <c r="E173" s="3"/>
      <c r="F173" s="3"/>
      <c r="G173" s="3"/>
    </row>
    <row r="174" ht="15.75" customHeight="1">
      <c r="A174" s="3"/>
      <c r="B174" s="3"/>
      <c r="C174" s="3"/>
      <c r="D174" s="3"/>
      <c r="E174" s="3"/>
      <c r="F174" s="3"/>
      <c r="G174" s="3"/>
    </row>
    <row r="175" ht="15.75" customHeight="1">
      <c r="A175" s="3"/>
      <c r="B175" s="3"/>
      <c r="C175" s="3"/>
      <c r="D175" s="3"/>
      <c r="E175" s="3"/>
      <c r="F175" s="3"/>
      <c r="G175" s="3"/>
    </row>
    <row r="176" ht="15.75" customHeight="1">
      <c r="A176" s="3"/>
      <c r="B176" s="3"/>
      <c r="C176" s="3"/>
      <c r="D176" s="3"/>
      <c r="E176" s="3"/>
      <c r="F176" s="3"/>
      <c r="G176" s="3"/>
    </row>
    <row r="177" ht="15.75" customHeight="1">
      <c r="A177" s="3"/>
      <c r="B177" s="3"/>
      <c r="C177" s="3"/>
      <c r="D177" s="3"/>
      <c r="E177" s="3"/>
      <c r="F177" s="3"/>
      <c r="G177" s="3"/>
    </row>
    <row r="178" ht="15.75" customHeight="1">
      <c r="A178" s="3"/>
      <c r="B178" s="3"/>
      <c r="C178" s="3"/>
      <c r="D178" s="3"/>
      <c r="E178" s="3"/>
      <c r="F178" s="3"/>
      <c r="G178" s="3"/>
    </row>
    <row r="179" ht="15.75" customHeight="1">
      <c r="A179" s="3"/>
      <c r="B179" s="3"/>
      <c r="C179" s="3"/>
      <c r="D179" s="3"/>
      <c r="E179" s="3"/>
      <c r="F179" s="3"/>
      <c r="G179" s="3"/>
    </row>
    <row r="180" ht="15.75" customHeight="1">
      <c r="A180" s="3"/>
      <c r="B180" s="3"/>
      <c r="C180" s="3"/>
      <c r="D180" s="3"/>
      <c r="E180" s="3"/>
      <c r="F180" s="3"/>
      <c r="G180" s="3"/>
    </row>
    <row r="181" ht="15.75" customHeight="1">
      <c r="A181" s="3"/>
      <c r="B181" s="3"/>
      <c r="C181" s="3"/>
      <c r="D181" s="3"/>
      <c r="E181" s="3"/>
      <c r="F181" s="3"/>
      <c r="G181" s="3"/>
    </row>
    <row r="182" ht="15.75" customHeight="1">
      <c r="A182" s="3"/>
      <c r="B182" s="3"/>
      <c r="C182" s="3"/>
      <c r="D182" s="3"/>
      <c r="E182" s="3"/>
      <c r="F182" s="3"/>
      <c r="G182" s="3"/>
    </row>
    <row r="183" ht="15.75" customHeight="1">
      <c r="A183" s="3"/>
      <c r="B183" s="3"/>
      <c r="C183" s="3"/>
      <c r="D183" s="3"/>
      <c r="E183" s="3"/>
      <c r="F183" s="3"/>
      <c r="G183" s="3"/>
    </row>
    <row r="184" ht="15.75" customHeight="1">
      <c r="A184" s="3"/>
      <c r="B184" s="3"/>
      <c r="C184" s="3"/>
      <c r="D184" s="3"/>
      <c r="E184" s="3"/>
      <c r="F184" s="3"/>
      <c r="G184" s="3"/>
    </row>
    <row r="185" ht="15.75" customHeight="1">
      <c r="A185" s="3"/>
      <c r="B185" s="3"/>
      <c r="C185" s="3"/>
      <c r="D185" s="3"/>
      <c r="E185" s="3"/>
      <c r="F185" s="3"/>
      <c r="G185" s="3"/>
    </row>
    <row r="186" ht="15.75" customHeight="1">
      <c r="A186" s="3"/>
      <c r="B186" s="3"/>
      <c r="C186" s="3"/>
      <c r="D186" s="3"/>
      <c r="E186" s="3"/>
      <c r="F186" s="3"/>
      <c r="G186" s="3"/>
    </row>
    <row r="187" ht="15.75" customHeight="1">
      <c r="A187" s="3"/>
      <c r="B187" s="3"/>
      <c r="C187" s="3"/>
      <c r="D187" s="3"/>
      <c r="E187" s="3"/>
      <c r="F187" s="3"/>
      <c r="G187" s="3"/>
    </row>
    <row r="188" ht="15.75" customHeight="1">
      <c r="A188" s="3"/>
      <c r="B188" s="3"/>
      <c r="C188" s="3"/>
      <c r="D188" s="3"/>
      <c r="E188" s="3"/>
      <c r="F188" s="3"/>
      <c r="G188" s="3"/>
    </row>
    <row r="189" ht="15.75" customHeight="1">
      <c r="A189" s="3"/>
      <c r="B189" s="3"/>
      <c r="C189" s="3"/>
      <c r="D189" s="3"/>
      <c r="E189" s="3"/>
      <c r="F189" s="3"/>
      <c r="G189" s="3"/>
    </row>
    <row r="190" ht="15.75" customHeight="1">
      <c r="A190" s="3"/>
      <c r="B190" s="3"/>
      <c r="C190" s="3"/>
      <c r="D190" s="3"/>
      <c r="E190" s="3"/>
      <c r="F190" s="3"/>
      <c r="G190" s="3"/>
    </row>
    <row r="191" ht="15.75" customHeight="1">
      <c r="A191" s="3"/>
      <c r="B191" s="3"/>
      <c r="C191" s="3"/>
      <c r="D191" s="3"/>
      <c r="E191" s="3"/>
      <c r="F191" s="3"/>
      <c r="G191" s="3"/>
    </row>
    <row r="192" ht="15.75" customHeight="1">
      <c r="A192" s="3"/>
      <c r="B192" s="3"/>
      <c r="C192" s="3"/>
      <c r="D192" s="3"/>
      <c r="E192" s="3"/>
      <c r="F192" s="3"/>
      <c r="G192" s="3"/>
    </row>
    <row r="193" ht="15.75" customHeight="1">
      <c r="A193" s="3"/>
      <c r="B193" s="3"/>
      <c r="C193" s="3"/>
      <c r="D193" s="3"/>
      <c r="E193" s="3"/>
      <c r="F193" s="3"/>
      <c r="G193" s="3"/>
    </row>
    <row r="194" ht="15.75" customHeight="1">
      <c r="A194" s="3"/>
      <c r="B194" s="3"/>
      <c r="C194" s="3"/>
      <c r="D194" s="3"/>
      <c r="E194" s="3"/>
      <c r="F194" s="3"/>
      <c r="G194" s="3"/>
    </row>
    <row r="195" ht="15.75" customHeight="1">
      <c r="A195" s="3"/>
      <c r="B195" s="3"/>
      <c r="C195" s="3"/>
      <c r="D195" s="3"/>
      <c r="E195" s="3"/>
      <c r="F195" s="3"/>
      <c r="G195" s="3"/>
    </row>
    <row r="196" ht="15.75" customHeight="1">
      <c r="A196" s="3"/>
      <c r="B196" s="3"/>
      <c r="C196" s="3"/>
      <c r="D196" s="3"/>
      <c r="E196" s="3"/>
      <c r="F196" s="3"/>
      <c r="G196" s="3"/>
    </row>
    <row r="197" ht="15.75" customHeight="1">
      <c r="A197" s="3"/>
      <c r="B197" s="3"/>
      <c r="C197" s="3"/>
      <c r="D197" s="3"/>
      <c r="E197" s="3"/>
      <c r="F197" s="3"/>
      <c r="G197" s="3"/>
    </row>
    <row r="198" ht="15.75" customHeight="1">
      <c r="A198" s="3"/>
      <c r="B198" s="3"/>
      <c r="C198" s="3"/>
      <c r="D198" s="3"/>
      <c r="E198" s="3"/>
      <c r="F198" s="3"/>
      <c r="G198" s="3"/>
    </row>
    <row r="199" ht="15.75" customHeight="1">
      <c r="A199" s="3"/>
      <c r="B199" s="3"/>
      <c r="C199" s="3"/>
      <c r="D199" s="3"/>
      <c r="E199" s="3"/>
      <c r="F199" s="3"/>
      <c r="G199" s="3"/>
    </row>
    <row r="200" ht="15.75" customHeight="1">
      <c r="A200" s="3"/>
      <c r="B200" s="3"/>
      <c r="C200" s="3"/>
      <c r="D200" s="3"/>
      <c r="E200" s="3"/>
      <c r="F200" s="3"/>
      <c r="G200" s="3"/>
    </row>
    <row r="201" ht="15.75" customHeight="1">
      <c r="C201" s="11"/>
      <c r="F201" s="11"/>
    </row>
    <row r="202" ht="15.75" customHeight="1">
      <c r="C202" s="11"/>
      <c r="F202" s="11"/>
    </row>
    <row r="203" ht="15.75" customHeight="1">
      <c r="C203" s="11"/>
      <c r="F203" s="11"/>
    </row>
    <row r="204" ht="15.75" customHeight="1">
      <c r="C204" s="11"/>
      <c r="F204" s="11"/>
    </row>
    <row r="205" ht="15.75" customHeight="1">
      <c r="C205" s="11"/>
      <c r="F205" s="11"/>
    </row>
    <row r="206" ht="15.75" customHeight="1">
      <c r="C206" s="11"/>
      <c r="F206" s="11"/>
    </row>
    <row r="207" ht="15.75" customHeight="1">
      <c r="C207" s="11"/>
      <c r="F207" s="11"/>
    </row>
    <row r="208" ht="15.75" customHeight="1">
      <c r="C208" s="11"/>
      <c r="F208" s="11"/>
    </row>
    <row r="209" ht="15.75" customHeight="1">
      <c r="C209" s="11"/>
      <c r="F209" s="11"/>
    </row>
    <row r="210" ht="15.75" customHeight="1">
      <c r="C210" s="11"/>
      <c r="F210" s="11"/>
    </row>
    <row r="211" ht="15.75" customHeight="1">
      <c r="C211" s="11"/>
      <c r="F211" s="11"/>
    </row>
    <row r="212" ht="15.75" customHeight="1">
      <c r="C212" s="11"/>
      <c r="F212" s="11"/>
    </row>
    <row r="213" ht="15.75" customHeight="1">
      <c r="C213" s="11"/>
      <c r="F213" s="11"/>
    </row>
    <row r="214" ht="15.75" customHeight="1">
      <c r="C214" s="11"/>
      <c r="F214" s="11"/>
    </row>
    <row r="215" ht="15.75" customHeight="1">
      <c r="C215" s="11"/>
      <c r="F215" s="11"/>
    </row>
    <row r="216" ht="15.75" customHeight="1">
      <c r="C216" s="11"/>
      <c r="F216" s="11"/>
    </row>
    <row r="217" ht="15.75" customHeight="1">
      <c r="C217" s="11"/>
      <c r="F217" s="11"/>
    </row>
    <row r="218" ht="15.75" customHeight="1">
      <c r="C218" s="11"/>
      <c r="F218" s="11"/>
    </row>
    <row r="219" ht="15.75" customHeight="1">
      <c r="C219" s="11"/>
      <c r="F219" s="11"/>
    </row>
    <row r="220" ht="15.75" customHeight="1">
      <c r="C220" s="11"/>
      <c r="F220" s="11"/>
    </row>
    <row r="221" ht="15.75" customHeight="1">
      <c r="C221" s="11"/>
      <c r="F221" s="11"/>
    </row>
    <row r="222" ht="15.75" customHeight="1">
      <c r="C222" s="11"/>
      <c r="F222" s="11"/>
    </row>
    <row r="223" ht="15.75" customHeight="1">
      <c r="C223" s="11"/>
      <c r="F223" s="11"/>
    </row>
    <row r="224" ht="15.75" customHeight="1">
      <c r="C224" s="11"/>
      <c r="F224" s="11"/>
    </row>
    <row r="225" ht="15.75" customHeight="1">
      <c r="C225" s="11"/>
      <c r="F225" s="11"/>
    </row>
    <row r="226" ht="15.75" customHeight="1">
      <c r="C226" s="11"/>
      <c r="F226" s="11"/>
    </row>
    <row r="227" ht="15.75" customHeight="1">
      <c r="C227" s="11"/>
      <c r="F227" s="11"/>
    </row>
    <row r="228" ht="15.75" customHeight="1">
      <c r="C228" s="11"/>
      <c r="F228" s="11"/>
    </row>
    <row r="229" ht="15.75" customHeight="1">
      <c r="C229" s="11"/>
      <c r="F229" s="11"/>
    </row>
    <row r="230" ht="15.75" customHeight="1">
      <c r="C230" s="11"/>
      <c r="F230" s="11"/>
    </row>
    <row r="231" ht="15.75" customHeight="1">
      <c r="C231" s="11"/>
      <c r="F231" s="11"/>
    </row>
    <row r="232" ht="15.75" customHeight="1">
      <c r="C232" s="11"/>
      <c r="F232" s="11"/>
    </row>
    <row r="233" ht="15.75" customHeight="1">
      <c r="C233" s="11"/>
      <c r="F233" s="11"/>
    </row>
    <row r="234" ht="15.75" customHeight="1">
      <c r="C234" s="11"/>
      <c r="F234" s="11"/>
    </row>
    <row r="235" ht="15.75" customHeight="1">
      <c r="C235" s="11"/>
      <c r="F235" s="11"/>
    </row>
    <row r="236" ht="15.75" customHeight="1">
      <c r="C236" s="11"/>
      <c r="F236" s="11"/>
    </row>
    <row r="237" ht="15.75" customHeight="1">
      <c r="C237" s="11"/>
      <c r="F237" s="11"/>
    </row>
    <row r="238" ht="15.75" customHeight="1">
      <c r="C238" s="11"/>
      <c r="F238" s="11"/>
    </row>
    <row r="239" ht="15.75" customHeight="1">
      <c r="C239" s="11"/>
      <c r="F239" s="11"/>
    </row>
    <row r="240" ht="15.75" customHeight="1">
      <c r="C240" s="11"/>
      <c r="F240" s="11"/>
    </row>
    <row r="241" ht="15.75" customHeight="1">
      <c r="C241" s="11"/>
      <c r="F241" s="11"/>
    </row>
    <row r="242" ht="15.75" customHeight="1">
      <c r="C242" s="11"/>
      <c r="F242" s="11"/>
    </row>
    <row r="243" ht="15.75" customHeight="1">
      <c r="C243" s="11"/>
      <c r="F243" s="11"/>
    </row>
    <row r="244" ht="15.75" customHeight="1">
      <c r="C244" s="11"/>
      <c r="F244" s="11"/>
    </row>
    <row r="245" ht="15.75" customHeight="1">
      <c r="C245" s="11"/>
      <c r="F245" s="11"/>
    </row>
    <row r="246" ht="15.75" customHeight="1">
      <c r="C246" s="11"/>
      <c r="F246" s="11"/>
    </row>
    <row r="247" ht="15.75" customHeight="1">
      <c r="C247" s="11"/>
      <c r="F247" s="11"/>
    </row>
    <row r="248" ht="15.75" customHeight="1">
      <c r="C248" s="11"/>
      <c r="F248" s="11"/>
    </row>
    <row r="249" ht="15.75" customHeight="1">
      <c r="C249" s="11"/>
      <c r="F249" s="11"/>
    </row>
    <row r="250" ht="15.75" customHeight="1">
      <c r="C250" s="11"/>
      <c r="F250" s="11"/>
    </row>
    <row r="251" ht="15.75" customHeight="1">
      <c r="C251" s="11"/>
      <c r="F251" s="11"/>
    </row>
    <row r="252" ht="15.75" customHeight="1">
      <c r="C252" s="11"/>
      <c r="F252" s="11"/>
    </row>
    <row r="253" ht="15.75" customHeight="1">
      <c r="C253" s="11"/>
      <c r="F253" s="11"/>
    </row>
    <row r="254" ht="15.75" customHeight="1">
      <c r="C254" s="11"/>
      <c r="F254" s="11"/>
    </row>
    <row r="255" ht="15.75" customHeight="1">
      <c r="C255" s="11"/>
      <c r="F255" s="11"/>
    </row>
    <row r="256" ht="15.75" customHeight="1">
      <c r="C256" s="11"/>
      <c r="F256" s="11"/>
    </row>
    <row r="257" ht="15.75" customHeight="1">
      <c r="C257" s="11"/>
      <c r="F257" s="11"/>
    </row>
    <row r="258" ht="15.75" customHeight="1">
      <c r="C258" s="11"/>
      <c r="F258" s="11"/>
    </row>
    <row r="259" ht="15.75" customHeight="1">
      <c r="C259" s="11"/>
      <c r="F259" s="11"/>
    </row>
    <row r="260" ht="15.75" customHeight="1">
      <c r="C260" s="11"/>
      <c r="F260" s="11"/>
    </row>
    <row r="261" ht="15.75" customHeight="1">
      <c r="C261" s="11"/>
      <c r="F261" s="11"/>
    </row>
    <row r="262" ht="15.75" customHeight="1">
      <c r="C262" s="11"/>
      <c r="F262" s="11"/>
    </row>
    <row r="263" ht="15.75" customHeight="1">
      <c r="C263" s="11"/>
      <c r="F263" s="11"/>
    </row>
    <row r="264" ht="15.75" customHeight="1">
      <c r="C264" s="11"/>
      <c r="F264" s="11"/>
    </row>
    <row r="265" ht="15.75" customHeight="1">
      <c r="C265" s="11"/>
      <c r="F265" s="11"/>
    </row>
    <row r="266" ht="15.75" customHeight="1">
      <c r="C266" s="11"/>
      <c r="F266" s="11"/>
    </row>
    <row r="267" ht="15.75" customHeight="1">
      <c r="C267" s="11"/>
      <c r="F267" s="11"/>
    </row>
    <row r="268" ht="15.75" customHeight="1">
      <c r="C268" s="11"/>
      <c r="F268" s="11"/>
    </row>
    <row r="269" ht="15.75" customHeight="1">
      <c r="C269" s="11"/>
      <c r="F269" s="11"/>
    </row>
    <row r="270" ht="15.75" customHeight="1">
      <c r="C270" s="11"/>
      <c r="F270" s="11"/>
    </row>
    <row r="271" ht="15.75" customHeight="1">
      <c r="C271" s="11"/>
      <c r="F271" s="11"/>
    </row>
    <row r="272" ht="15.75" customHeight="1">
      <c r="C272" s="11"/>
      <c r="F272" s="11"/>
    </row>
    <row r="273" ht="15.75" customHeight="1">
      <c r="C273" s="11"/>
      <c r="F273" s="11"/>
    </row>
    <row r="274" ht="15.75" customHeight="1">
      <c r="C274" s="11"/>
      <c r="F274" s="11"/>
    </row>
    <row r="275" ht="15.75" customHeight="1">
      <c r="C275" s="11"/>
      <c r="F275" s="11"/>
    </row>
    <row r="276" ht="15.75" customHeight="1">
      <c r="C276" s="11"/>
      <c r="F276" s="11"/>
    </row>
    <row r="277" ht="15.75" customHeight="1">
      <c r="C277" s="11"/>
      <c r="F277" s="11"/>
    </row>
    <row r="278" ht="15.75" customHeight="1">
      <c r="C278" s="11"/>
      <c r="F278" s="11"/>
    </row>
    <row r="279" ht="15.75" customHeight="1">
      <c r="C279" s="11"/>
      <c r="F279" s="11"/>
    </row>
    <row r="280" ht="15.75" customHeight="1">
      <c r="C280" s="11"/>
      <c r="F280" s="11"/>
    </row>
    <row r="281" ht="15.75" customHeight="1">
      <c r="C281" s="11"/>
      <c r="F281" s="11"/>
    </row>
    <row r="282" ht="15.75" customHeight="1">
      <c r="C282" s="11"/>
      <c r="F282" s="11"/>
    </row>
    <row r="283" ht="15.75" customHeight="1">
      <c r="C283" s="11"/>
      <c r="F283" s="11"/>
    </row>
    <row r="284" ht="15.75" customHeight="1">
      <c r="C284" s="11"/>
      <c r="F284" s="11"/>
    </row>
    <row r="285" ht="15.75" customHeight="1">
      <c r="C285" s="11"/>
      <c r="F285" s="11"/>
    </row>
    <row r="286" ht="15.75" customHeight="1">
      <c r="C286" s="11"/>
      <c r="F286" s="11"/>
    </row>
    <row r="287" ht="15.75" customHeight="1">
      <c r="C287" s="11"/>
      <c r="F287" s="11"/>
    </row>
    <row r="288" ht="15.75" customHeight="1">
      <c r="C288" s="11"/>
      <c r="F288" s="11"/>
    </row>
    <row r="289" ht="15.75" customHeight="1">
      <c r="C289" s="11"/>
      <c r="F289" s="11"/>
    </row>
    <row r="290" ht="15.75" customHeight="1">
      <c r="C290" s="11"/>
      <c r="F290" s="11"/>
    </row>
    <row r="291" ht="15.75" customHeight="1">
      <c r="C291" s="11"/>
      <c r="F291" s="11"/>
    </row>
    <row r="292" ht="15.75" customHeight="1">
      <c r="C292" s="11"/>
      <c r="F292" s="11"/>
    </row>
    <row r="293" ht="15.75" customHeight="1">
      <c r="C293" s="11"/>
      <c r="F293" s="11"/>
    </row>
    <row r="294" ht="15.75" customHeight="1">
      <c r="C294" s="11"/>
      <c r="F294" s="11"/>
    </row>
    <row r="295" ht="15.75" customHeight="1">
      <c r="C295" s="11"/>
      <c r="F295" s="11"/>
    </row>
    <row r="296" ht="15.75" customHeight="1">
      <c r="C296" s="11"/>
      <c r="F296" s="11"/>
    </row>
    <row r="297" ht="15.75" customHeight="1">
      <c r="C297" s="11"/>
      <c r="F297" s="11"/>
    </row>
    <row r="298" ht="15.75" customHeight="1">
      <c r="C298" s="11"/>
      <c r="F298" s="11"/>
    </row>
    <row r="299" ht="15.75" customHeight="1">
      <c r="C299" s="11"/>
      <c r="F299" s="11"/>
    </row>
    <row r="300" ht="15.75" customHeight="1">
      <c r="C300" s="11"/>
      <c r="F300" s="11"/>
    </row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C2:C300">
      <formula1>Lists!$C$2:$C$9</formula1>
    </dataValidation>
    <dataValidation type="list" allowBlank="1" sqref="F2:F300">
      <formula1>Lists!$A$2:$A$3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0"/>
    <col customWidth="1" min="2" max="2" width="16.0"/>
    <col customWidth="1" min="3" max="3" width="8.0"/>
    <col customWidth="1" min="4" max="4" width="14.0"/>
    <col customWidth="1" min="5" max="5" width="16.0"/>
    <col customWidth="1" min="6" max="8" width="14.0"/>
    <col customWidth="1" min="9" max="9" width="20.0"/>
    <col customWidth="1" min="10" max="26" width="8.63"/>
  </cols>
  <sheetData>
    <row r="1">
      <c r="A1" s="8" t="s">
        <v>181</v>
      </c>
      <c r="B1" s="8" t="s">
        <v>375</v>
      </c>
      <c r="C1" s="8" t="s">
        <v>376</v>
      </c>
      <c r="D1" s="8" t="s">
        <v>377</v>
      </c>
      <c r="E1" s="8" t="s">
        <v>378</v>
      </c>
      <c r="F1" s="8" t="s">
        <v>192</v>
      </c>
      <c r="G1" s="8" t="s">
        <v>379</v>
      </c>
      <c r="H1" s="8" t="s">
        <v>380</v>
      </c>
      <c r="I1" s="8" t="s">
        <v>381</v>
      </c>
    </row>
    <row r="2">
      <c r="A2" s="9" t="s">
        <v>202</v>
      </c>
      <c r="B2" s="9" t="s">
        <v>203</v>
      </c>
      <c r="C2" s="12">
        <v>18.0</v>
      </c>
      <c r="D2" s="12">
        <v>2.0</v>
      </c>
      <c r="E2" s="12">
        <f t="shared" ref="E2:E15" si="1">C2-D2</f>
        <v>16</v>
      </c>
      <c r="F2" s="12">
        <v>4.0</v>
      </c>
      <c r="G2" s="9" t="str">
        <f t="shared" ref="G2:G15" si="2">IF(E2&lt;=0,"Изчерпан",IF(E2&lt;=F2,"Ниска наличност","В наличност"))</f>
        <v>В наличност</v>
      </c>
      <c r="H2" s="13">
        <v>46111.0</v>
      </c>
      <c r="I2" s="9"/>
    </row>
    <row r="3">
      <c r="A3" s="9" t="s">
        <v>211</v>
      </c>
      <c r="B3" s="9" t="s">
        <v>212</v>
      </c>
      <c r="C3" s="12">
        <v>7.0</v>
      </c>
      <c r="D3" s="12">
        <v>1.0</v>
      </c>
      <c r="E3" s="12">
        <f t="shared" si="1"/>
        <v>6</v>
      </c>
      <c r="F3" s="12">
        <v>3.0</v>
      </c>
      <c r="G3" s="9" t="str">
        <f t="shared" si="2"/>
        <v>В наличност</v>
      </c>
      <c r="H3" s="13">
        <v>46111.0</v>
      </c>
      <c r="I3" s="9"/>
    </row>
    <row r="4">
      <c r="A4" s="9" t="s">
        <v>219</v>
      </c>
      <c r="B4" s="9" t="s">
        <v>220</v>
      </c>
      <c r="C4" s="12">
        <v>42.0</v>
      </c>
      <c r="D4" s="12">
        <v>8.0</v>
      </c>
      <c r="E4" s="12">
        <f t="shared" si="1"/>
        <v>34</v>
      </c>
      <c r="F4" s="12">
        <v>10.0</v>
      </c>
      <c r="G4" s="9" t="str">
        <f t="shared" si="2"/>
        <v>В наличност</v>
      </c>
      <c r="H4" s="13">
        <v>46111.0</v>
      </c>
      <c r="I4" s="9"/>
    </row>
    <row r="5">
      <c r="A5" s="9" t="s">
        <v>228</v>
      </c>
      <c r="B5" s="9" t="s">
        <v>229</v>
      </c>
      <c r="C5" s="12">
        <v>95.0</v>
      </c>
      <c r="D5" s="12">
        <v>6.0</v>
      </c>
      <c r="E5" s="12">
        <f t="shared" si="1"/>
        <v>89</v>
      </c>
      <c r="F5" s="12">
        <v>20.0</v>
      </c>
      <c r="G5" s="9" t="str">
        <f t="shared" si="2"/>
        <v>В наличност</v>
      </c>
      <c r="H5" s="13">
        <v>46111.0</v>
      </c>
      <c r="I5" s="9"/>
    </row>
    <row r="6">
      <c r="A6" s="9" t="s">
        <v>235</v>
      </c>
      <c r="B6" s="9" t="s">
        <v>236</v>
      </c>
      <c r="C6" s="12">
        <v>26.0</v>
      </c>
      <c r="D6" s="12">
        <v>5.0</v>
      </c>
      <c r="E6" s="12">
        <f t="shared" si="1"/>
        <v>21</v>
      </c>
      <c r="F6" s="12">
        <v>8.0</v>
      </c>
      <c r="G6" s="9" t="str">
        <f t="shared" si="2"/>
        <v>В наличност</v>
      </c>
      <c r="H6" s="13">
        <v>46111.0</v>
      </c>
      <c r="I6" s="9"/>
    </row>
    <row r="7">
      <c r="A7" s="9" t="s">
        <v>244</v>
      </c>
      <c r="B7" s="9" t="s">
        <v>245</v>
      </c>
      <c r="C7" s="12">
        <v>3.0</v>
      </c>
      <c r="D7" s="12">
        <v>1.0</v>
      </c>
      <c r="E7" s="12">
        <f t="shared" si="1"/>
        <v>2</v>
      </c>
      <c r="F7" s="12">
        <v>2.0</v>
      </c>
      <c r="G7" s="9" t="str">
        <f t="shared" si="2"/>
        <v>Ниска наличност</v>
      </c>
      <c r="H7" s="13">
        <v>46111.0</v>
      </c>
      <c r="I7" s="9"/>
    </row>
    <row r="8">
      <c r="A8" s="9" t="s">
        <v>251</v>
      </c>
      <c r="B8" s="9" t="s">
        <v>252</v>
      </c>
      <c r="C8" s="12">
        <v>14.0</v>
      </c>
      <c r="D8" s="12">
        <v>2.0</v>
      </c>
      <c r="E8" s="12">
        <f t="shared" si="1"/>
        <v>12</v>
      </c>
      <c r="F8" s="12">
        <v>4.0</v>
      </c>
      <c r="G8" s="9" t="str">
        <f t="shared" si="2"/>
        <v>В наличност</v>
      </c>
      <c r="H8" s="13">
        <v>46111.0</v>
      </c>
      <c r="I8" s="9"/>
    </row>
    <row r="9">
      <c r="A9" s="9" t="s">
        <v>260</v>
      </c>
      <c r="B9" s="9" t="s">
        <v>261</v>
      </c>
      <c r="C9" s="12">
        <v>4.0</v>
      </c>
      <c r="D9" s="12">
        <v>1.0</v>
      </c>
      <c r="E9" s="12">
        <f t="shared" si="1"/>
        <v>3</v>
      </c>
      <c r="F9" s="12">
        <v>2.0</v>
      </c>
      <c r="G9" s="9" t="str">
        <f t="shared" si="2"/>
        <v>В наличност</v>
      </c>
      <c r="H9" s="13">
        <v>46111.0</v>
      </c>
      <c r="I9" s="9"/>
    </row>
    <row r="10">
      <c r="A10" s="9" t="s">
        <v>269</v>
      </c>
      <c r="B10" s="9" t="s">
        <v>270</v>
      </c>
      <c r="C10" s="12">
        <v>120.0</v>
      </c>
      <c r="D10" s="12">
        <v>12.0</v>
      </c>
      <c r="E10" s="12">
        <f t="shared" si="1"/>
        <v>108</v>
      </c>
      <c r="F10" s="12">
        <v>40.0</v>
      </c>
      <c r="G10" s="9" t="str">
        <f t="shared" si="2"/>
        <v>В наличност</v>
      </c>
      <c r="H10" s="13">
        <v>46111.0</v>
      </c>
      <c r="I10" s="9"/>
    </row>
    <row r="11">
      <c r="A11" s="9" t="s">
        <v>277</v>
      </c>
      <c r="B11" s="9" t="s">
        <v>278</v>
      </c>
      <c r="C11" s="12">
        <v>0.0</v>
      </c>
      <c r="D11" s="12">
        <v>0.0</v>
      </c>
      <c r="E11" s="12">
        <f t="shared" si="1"/>
        <v>0</v>
      </c>
      <c r="F11" s="12">
        <v>25.0</v>
      </c>
      <c r="G11" s="9" t="str">
        <f t="shared" si="2"/>
        <v>Изчерпан</v>
      </c>
      <c r="H11" s="13">
        <v>46111.0</v>
      </c>
      <c r="I11" s="9" t="s">
        <v>382</v>
      </c>
    </row>
    <row r="12">
      <c r="A12" s="9" t="s">
        <v>286</v>
      </c>
      <c r="B12" s="9" t="s">
        <v>287</v>
      </c>
      <c r="C12" s="12">
        <v>21.0</v>
      </c>
      <c r="D12" s="12">
        <v>3.0</v>
      </c>
      <c r="E12" s="12">
        <f t="shared" si="1"/>
        <v>18</v>
      </c>
      <c r="F12" s="12">
        <v>6.0</v>
      </c>
      <c r="G12" s="9" t="str">
        <f t="shared" si="2"/>
        <v>В наличност</v>
      </c>
      <c r="H12" s="13">
        <v>46111.0</v>
      </c>
      <c r="I12" s="9"/>
    </row>
    <row r="13">
      <c r="A13" s="9" t="s">
        <v>295</v>
      </c>
      <c r="B13" s="9" t="s">
        <v>296</v>
      </c>
      <c r="C13" s="12">
        <v>58.0</v>
      </c>
      <c r="D13" s="12">
        <v>7.0</v>
      </c>
      <c r="E13" s="12">
        <f t="shared" si="1"/>
        <v>51</v>
      </c>
      <c r="F13" s="12">
        <v>15.0</v>
      </c>
      <c r="G13" s="9" t="str">
        <f t="shared" si="2"/>
        <v>В наличност</v>
      </c>
      <c r="H13" s="13">
        <v>46111.0</v>
      </c>
      <c r="I13" s="9"/>
    </row>
    <row r="14">
      <c r="A14" s="9" t="s">
        <v>304</v>
      </c>
      <c r="B14" s="9" t="s">
        <v>305</v>
      </c>
      <c r="C14" s="12">
        <v>83.0</v>
      </c>
      <c r="D14" s="12">
        <v>10.0</v>
      </c>
      <c r="E14" s="12">
        <f t="shared" si="1"/>
        <v>73</v>
      </c>
      <c r="F14" s="12">
        <v>20.0</v>
      </c>
      <c r="G14" s="9" t="str">
        <f t="shared" si="2"/>
        <v>В наличност</v>
      </c>
      <c r="H14" s="13">
        <v>46111.0</v>
      </c>
      <c r="I14" s="9"/>
    </row>
    <row r="15">
      <c r="A15" s="9" t="s">
        <v>313</v>
      </c>
      <c r="B15" s="9" t="s">
        <v>314</v>
      </c>
      <c r="C15" s="12">
        <v>34.0</v>
      </c>
      <c r="D15" s="12">
        <v>4.0</v>
      </c>
      <c r="E15" s="12">
        <f t="shared" si="1"/>
        <v>30</v>
      </c>
      <c r="F15" s="12">
        <v>12.0</v>
      </c>
      <c r="G15" s="9" t="str">
        <f t="shared" si="2"/>
        <v>В наличност</v>
      </c>
      <c r="H15" s="13">
        <v>46111.0</v>
      </c>
      <c r="I15" s="9"/>
    </row>
    <row r="16">
      <c r="A16" s="3"/>
      <c r="B16" s="3"/>
      <c r="C16" s="3"/>
      <c r="D16" s="3"/>
      <c r="E16" s="3"/>
      <c r="F16" s="3"/>
      <c r="G16" s="3"/>
      <c r="H16" s="3"/>
      <c r="I16" s="3"/>
    </row>
    <row r="17">
      <c r="A17" s="3"/>
      <c r="B17" s="3"/>
      <c r="C17" s="3"/>
      <c r="D17" s="3"/>
      <c r="E17" s="3"/>
      <c r="F17" s="3"/>
      <c r="G17" s="3"/>
      <c r="H17" s="3"/>
      <c r="I17" s="3"/>
    </row>
    <row r="18">
      <c r="A18" s="3"/>
      <c r="B18" s="3"/>
      <c r="C18" s="3"/>
      <c r="D18" s="3"/>
      <c r="E18" s="3"/>
      <c r="F18" s="3"/>
      <c r="G18" s="3"/>
      <c r="H18" s="3"/>
      <c r="I18" s="3"/>
    </row>
    <row r="19">
      <c r="A19" s="3"/>
      <c r="B19" s="3"/>
      <c r="C19" s="3"/>
      <c r="D19" s="3"/>
      <c r="E19" s="3"/>
      <c r="F19" s="3"/>
      <c r="G19" s="3"/>
      <c r="H19" s="3"/>
      <c r="I19" s="3"/>
    </row>
    <row r="20">
      <c r="A20" s="3"/>
      <c r="B20" s="3"/>
      <c r="C20" s="3"/>
      <c r="D20" s="3"/>
      <c r="E20" s="3"/>
      <c r="F20" s="3"/>
      <c r="G20" s="3"/>
      <c r="H20" s="3"/>
      <c r="I20" s="3"/>
    </row>
    <row r="21" ht="15.75" customHeight="1">
      <c r="A21" s="3"/>
      <c r="B21" s="3"/>
      <c r="C21" s="3"/>
      <c r="D21" s="3"/>
      <c r="E21" s="3"/>
      <c r="F21" s="3"/>
      <c r="G21" s="3"/>
      <c r="H21" s="3"/>
      <c r="I21" s="3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G2:G1000">
    <cfRule type="expression" dxfId="4" priority="1">
      <formula>$G2="Изчерпан"</formula>
    </cfRule>
  </conditionalFormatting>
  <conditionalFormatting sqref="G2:G1000">
    <cfRule type="expression" dxfId="5" priority="2">
      <formula>$G2="Ниска наличност"</formula>
    </cfRule>
  </conditionalFormatting>
  <conditionalFormatting sqref="G2:G1000">
    <cfRule type="expression" dxfId="6" priority="3">
      <formula>$G2="В наличност"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